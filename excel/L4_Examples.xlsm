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olk\Downloads\"/>
    </mc:Choice>
  </mc:AlternateContent>
  <xr:revisionPtr revIDLastSave="0" documentId="13_ncr:1_{51B0F429-E364-4089-B093-ED1FB5D2569F}" xr6:coauthVersionLast="45" xr6:coauthVersionMax="45" xr10:uidLastSave="{00000000-0000-0000-0000-000000000000}"/>
  <bookViews>
    <workbookView xWindow="-110" yWindow="-110" windowWidth="30220" windowHeight="19620" xr2:uid="{A51F46D4-FA02-4998-9C68-0C961BBEDFB1}"/>
  </bookViews>
  <sheets>
    <sheet name="Exercise 2" sheetId="1" r:id="rId1"/>
  </sheets>
  <definedNames>
    <definedName name="solver_adj" localSheetId="0" hidden="1">'Exercise 2'!$E$114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'Exercise 2'!$E$114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'Exercise 2'!$F$114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hs1" localSheetId="0" hidden="1">0.001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8" i="1" l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14" i="1"/>
  <c r="E8" i="1"/>
  <c r="D14" i="1"/>
  <c r="E9" i="1"/>
  <c r="F2" i="1" l="1"/>
  <c r="B86" i="1" l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74" i="1"/>
  <c r="B75" i="1"/>
  <c r="B76" i="1"/>
  <c r="B77" i="1"/>
  <c r="B78" i="1"/>
  <c r="B79" i="1"/>
  <c r="B80" i="1"/>
  <c r="B81" i="1"/>
  <c r="B82" i="1"/>
  <c r="B83" i="1"/>
  <c r="B84" i="1"/>
  <c r="B85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15" i="1"/>
  <c r="B14" i="1"/>
  <c r="F3" i="1"/>
</calcChain>
</file>

<file path=xl/sharedStrings.xml><?xml version="1.0" encoding="utf-8"?>
<sst xmlns="http://schemas.openxmlformats.org/spreadsheetml/2006/main" count="26" uniqueCount="17">
  <si>
    <t>b</t>
  </si>
  <si>
    <t>Nitrogen</t>
  </si>
  <si>
    <t>Tc</t>
  </si>
  <si>
    <t>Pc</t>
  </si>
  <si>
    <t>a</t>
  </si>
  <si>
    <t>K</t>
  </si>
  <si>
    <t>atm</t>
  </si>
  <si>
    <t>R</t>
  </si>
  <si>
    <t>m3 atm/K mol</t>
  </si>
  <si>
    <t>RK EOS</t>
  </si>
  <si>
    <t>Variables</t>
  </si>
  <si>
    <t>P</t>
  </si>
  <si>
    <t>Vm</t>
  </si>
  <si>
    <t>T</t>
  </si>
  <si>
    <t>m^3/mol</t>
  </si>
  <si>
    <t>Vm1</t>
  </si>
  <si>
    <t>Vm2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</si>
</sst>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 2'!$B$13</c:f>
              <c:strCache>
                <c:ptCount val="1"/>
                <c:pt idx="0">
                  <c:v>RK EOS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'Exercise 2'!$A$14:$A$184</c:f>
              <c:numCache>
                <c:formatCode>General</c:formatCode>
                <c:ptCount val="171"/>
                <c:pt idx="0">
                  <c:v>1E-4</c:v>
                </c:pt>
                <c:pt idx="1">
                  <c:v>2.0000000000000001E-4</c:v>
                </c:pt>
                <c:pt idx="2">
                  <c:v>2.9999999999999997E-4</c:v>
                </c:pt>
                <c:pt idx="3">
                  <c:v>4.0000000000000002E-4</c:v>
                </c:pt>
                <c:pt idx="4">
                  <c:v>5.0000000000000001E-4</c:v>
                </c:pt>
                <c:pt idx="5">
                  <c:v>5.9999999999999995E-4</c:v>
                </c:pt>
                <c:pt idx="6">
                  <c:v>6.9999999999999999E-4</c:v>
                </c:pt>
                <c:pt idx="7">
                  <c:v>8.0000000000000004E-4</c:v>
                </c:pt>
                <c:pt idx="8">
                  <c:v>8.9999999999999998E-4</c:v>
                </c:pt>
                <c:pt idx="9">
                  <c:v>1E-3</c:v>
                </c:pt>
                <c:pt idx="10">
                  <c:v>1.1000000000000001E-3</c:v>
                </c:pt>
                <c:pt idx="11">
                  <c:v>1.1999999999999999E-3</c:v>
                </c:pt>
                <c:pt idx="12">
                  <c:v>1.2999999999999999E-3</c:v>
                </c:pt>
                <c:pt idx="13">
                  <c:v>1.4E-3</c:v>
                </c:pt>
                <c:pt idx="14">
                  <c:v>1.5E-3</c:v>
                </c:pt>
                <c:pt idx="15">
                  <c:v>1.6000000000000001E-3</c:v>
                </c:pt>
                <c:pt idx="16">
                  <c:v>1.6999999999999999E-3</c:v>
                </c:pt>
                <c:pt idx="17">
                  <c:v>1.8E-3</c:v>
                </c:pt>
                <c:pt idx="18">
                  <c:v>1.9E-3</c:v>
                </c:pt>
                <c:pt idx="19">
                  <c:v>2E-3</c:v>
                </c:pt>
                <c:pt idx="20">
                  <c:v>2.0999999999999999E-3</c:v>
                </c:pt>
                <c:pt idx="21">
                  <c:v>2.2000000000000001E-3</c:v>
                </c:pt>
                <c:pt idx="22">
                  <c:v>2.3E-3</c:v>
                </c:pt>
                <c:pt idx="23">
                  <c:v>2.3999999999999998E-3</c:v>
                </c:pt>
                <c:pt idx="24">
                  <c:v>2.5000000000000001E-3</c:v>
                </c:pt>
                <c:pt idx="25">
                  <c:v>2.5999999999999999E-3</c:v>
                </c:pt>
                <c:pt idx="26">
                  <c:v>2.7000000000000001E-3</c:v>
                </c:pt>
                <c:pt idx="27">
                  <c:v>2.8E-3</c:v>
                </c:pt>
                <c:pt idx="28">
                  <c:v>2.8999999999999998E-3</c:v>
                </c:pt>
                <c:pt idx="29">
                  <c:v>3.0000000000000001E-3</c:v>
                </c:pt>
                <c:pt idx="30">
                  <c:v>3.0999999999999999E-3</c:v>
                </c:pt>
                <c:pt idx="31">
                  <c:v>3.2000000000000002E-3</c:v>
                </c:pt>
                <c:pt idx="32">
                  <c:v>3.3E-3</c:v>
                </c:pt>
                <c:pt idx="33">
                  <c:v>3.3999999999999998E-3</c:v>
                </c:pt>
                <c:pt idx="34">
                  <c:v>3.5000000000000001E-3</c:v>
                </c:pt>
                <c:pt idx="35">
                  <c:v>3.5999999999999999E-3</c:v>
                </c:pt>
                <c:pt idx="36">
                  <c:v>3.7000000000000002E-3</c:v>
                </c:pt>
                <c:pt idx="37">
                  <c:v>3.8E-3</c:v>
                </c:pt>
                <c:pt idx="38">
                  <c:v>3.8999999999999998E-3</c:v>
                </c:pt>
                <c:pt idx="39">
                  <c:v>4.0000000000000001E-3</c:v>
                </c:pt>
                <c:pt idx="40">
                  <c:v>4.1000000000000003E-3</c:v>
                </c:pt>
                <c:pt idx="41">
                  <c:v>4.1999999999999997E-3</c:v>
                </c:pt>
                <c:pt idx="42">
                  <c:v>4.3E-3</c:v>
                </c:pt>
                <c:pt idx="43">
                  <c:v>4.4000000000000003E-3</c:v>
                </c:pt>
                <c:pt idx="44">
                  <c:v>4.4999999999999997E-3</c:v>
                </c:pt>
                <c:pt idx="45">
                  <c:v>4.5999999999999999E-3</c:v>
                </c:pt>
                <c:pt idx="46">
                  <c:v>4.7000000000000002E-3</c:v>
                </c:pt>
                <c:pt idx="47">
                  <c:v>4.7999999999999996E-3</c:v>
                </c:pt>
                <c:pt idx="48">
                  <c:v>4.8999999999999998E-3</c:v>
                </c:pt>
                <c:pt idx="49">
                  <c:v>5.0000000000000001E-3</c:v>
                </c:pt>
                <c:pt idx="50">
                  <c:v>5.1000000000000004E-3</c:v>
                </c:pt>
                <c:pt idx="51">
                  <c:v>5.1999999999999998E-3</c:v>
                </c:pt>
                <c:pt idx="52">
                  <c:v>5.3E-3</c:v>
                </c:pt>
                <c:pt idx="53">
                  <c:v>5.4000000000000003E-3</c:v>
                </c:pt>
                <c:pt idx="54">
                  <c:v>5.4999999999999997E-3</c:v>
                </c:pt>
                <c:pt idx="55">
                  <c:v>5.5999999999999999E-3</c:v>
                </c:pt>
                <c:pt idx="56">
                  <c:v>5.7000000000000002E-3</c:v>
                </c:pt>
                <c:pt idx="57">
                  <c:v>5.7999999999999996E-3</c:v>
                </c:pt>
                <c:pt idx="58">
                  <c:v>5.8999999999999999E-3</c:v>
                </c:pt>
                <c:pt idx="59">
                  <c:v>6.0000000000000001E-3</c:v>
                </c:pt>
                <c:pt idx="60">
                  <c:v>6.1000000000000004E-3</c:v>
                </c:pt>
                <c:pt idx="61">
                  <c:v>6.1999999999999998E-3</c:v>
                </c:pt>
                <c:pt idx="62">
                  <c:v>6.3E-3</c:v>
                </c:pt>
                <c:pt idx="63">
                  <c:v>6.4000000000000003E-3</c:v>
                </c:pt>
                <c:pt idx="64">
                  <c:v>6.4999999999999997E-3</c:v>
                </c:pt>
                <c:pt idx="65">
                  <c:v>6.6E-3</c:v>
                </c:pt>
                <c:pt idx="66">
                  <c:v>6.7000000000000002E-3</c:v>
                </c:pt>
                <c:pt idx="67">
                  <c:v>6.7999999999999996E-3</c:v>
                </c:pt>
                <c:pt idx="68">
                  <c:v>6.8999999999999999E-3</c:v>
                </c:pt>
                <c:pt idx="69">
                  <c:v>7.0000000000000001E-3</c:v>
                </c:pt>
                <c:pt idx="70">
                  <c:v>7.1000000000000004E-3</c:v>
                </c:pt>
                <c:pt idx="71">
                  <c:v>7.1999999999999998E-3</c:v>
                </c:pt>
                <c:pt idx="72">
                  <c:v>7.3000000000000001E-3</c:v>
                </c:pt>
                <c:pt idx="73">
                  <c:v>7.4000000000000003E-3</c:v>
                </c:pt>
                <c:pt idx="74">
                  <c:v>7.4999999999999997E-3</c:v>
                </c:pt>
                <c:pt idx="75">
                  <c:v>7.6E-3</c:v>
                </c:pt>
                <c:pt idx="76">
                  <c:v>7.7000000000000002E-3</c:v>
                </c:pt>
                <c:pt idx="77">
                  <c:v>7.7999999999999996E-3</c:v>
                </c:pt>
                <c:pt idx="78">
                  <c:v>7.9000000000000008E-3</c:v>
                </c:pt>
                <c:pt idx="79">
                  <c:v>8.0000000000000002E-3</c:v>
                </c:pt>
                <c:pt idx="80">
                  <c:v>8.0999999999999996E-3</c:v>
                </c:pt>
                <c:pt idx="81">
                  <c:v>8.2000000000000007E-3</c:v>
                </c:pt>
                <c:pt idx="82">
                  <c:v>8.3000000000000001E-3</c:v>
                </c:pt>
                <c:pt idx="83">
                  <c:v>8.3999999999999995E-3</c:v>
                </c:pt>
                <c:pt idx="84">
                  <c:v>8.5000000000000006E-3</c:v>
                </c:pt>
                <c:pt idx="85">
                  <c:v>8.6E-3</c:v>
                </c:pt>
                <c:pt idx="86">
                  <c:v>8.6999999999999994E-3</c:v>
                </c:pt>
                <c:pt idx="87">
                  <c:v>8.8000000000000005E-3</c:v>
                </c:pt>
                <c:pt idx="88">
                  <c:v>8.8999999999999999E-3</c:v>
                </c:pt>
                <c:pt idx="89">
                  <c:v>8.9999999999999993E-3</c:v>
                </c:pt>
                <c:pt idx="90">
                  <c:v>9.1000000000000004E-3</c:v>
                </c:pt>
                <c:pt idx="91">
                  <c:v>9.1999999999999998E-3</c:v>
                </c:pt>
                <c:pt idx="92">
                  <c:v>9.2999999999999992E-3</c:v>
                </c:pt>
                <c:pt idx="93">
                  <c:v>9.4000000000000004E-3</c:v>
                </c:pt>
                <c:pt idx="94">
                  <c:v>9.4999999999999998E-3</c:v>
                </c:pt>
                <c:pt idx="95">
                  <c:v>9.5999999999999992E-3</c:v>
                </c:pt>
                <c:pt idx="96">
                  <c:v>9.7000000000000003E-3</c:v>
                </c:pt>
                <c:pt idx="97">
                  <c:v>9.7999999999999997E-3</c:v>
                </c:pt>
                <c:pt idx="98">
                  <c:v>9.9000000000000008E-3</c:v>
                </c:pt>
                <c:pt idx="99">
                  <c:v>0.01</c:v>
                </c:pt>
                <c:pt idx="100">
                  <c:v>1.01E-2</c:v>
                </c:pt>
                <c:pt idx="101">
                  <c:v>1.0200000000000001E-2</c:v>
                </c:pt>
                <c:pt idx="102">
                  <c:v>1.03E-2</c:v>
                </c:pt>
                <c:pt idx="103">
                  <c:v>1.04E-2</c:v>
                </c:pt>
                <c:pt idx="104">
                  <c:v>1.0500000000000001E-2</c:v>
                </c:pt>
                <c:pt idx="105">
                  <c:v>1.06E-2</c:v>
                </c:pt>
                <c:pt idx="106">
                  <c:v>1.0699999999999999E-2</c:v>
                </c:pt>
                <c:pt idx="107">
                  <c:v>1.0800000000000001E-2</c:v>
                </c:pt>
                <c:pt idx="108">
                  <c:v>1.09E-2</c:v>
                </c:pt>
                <c:pt idx="109">
                  <c:v>1.0999999999999999E-2</c:v>
                </c:pt>
                <c:pt idx="110">
                  <c:v>1.11E-2</c:v>
                </c:pt>
                <c:pt idx="111">
                  <c:v>1.12E-2</c:v>
                </c:pt>
                <c:pt idx="112">
                  <c:v>1.1299999999999999E-2</c:v>
                </c:pt>
                <c:pt idx="113">
                  <c:v>1.14E-2</c:v>
                </c:pt>
                <c:pt idx="114">
                  <c:v>1.15E-2</c:v>
                </c:pt>
                <c:pt idx="115">
                  <c:v>1.1599999999999999E-2</c:v>
                </c:pt>
                <c:pt idx="116">
                  <c:v>1.17E-2</c:v>
                </c:pt>
                <c:pt idx="117">
                  <c:v>1.18E-2</c:v>
                </c:pt>
                <c:pt idx="118">
                  <c:v>1.1900000000000001E-2</c:v>
                </c:pt>
                <c:pt idx="119">
                  <c:v>1.2E-2</c:v>
                </c:pt>
                <c:pt idx="120">
                  <c:v>1.21E-2</c:v>
                </c:pt>
                <c:pt idx="121">
                  <c:v>1.2200000000000001E-2</c:v>
                </c:pt>
                <c:pt idx="122">
                  <c:v>1.23E-2</c:v>
                </c:pt>
                <c:pt idx="123">
                  <c:v>1.24E-2</c:v>
                </c:pt>
                <c:pt idx="124">
                  <c:v>1.2500000000000001E-2</c:v>
                </c:pt>
                <c:pt idx="125">
                  <c:v>1.26E-2</c:v>
                </c:pt>
                <c:pt idx="126">
                  <c:v>1.2699999999999999E-2</c:v>
                </c:pt>
                <c:pt idx="127">
                  <c:v>1.2800000000000001E-2</c:v>
                </c:pt>
                <c:pt idx="128">
                  <c:v>1.29E-2</c:v>
                </c:pt>
                <c:pt idx="129">
                  <c:v>1.2999999999999999E-2</c:v>
                </c:pt>
                <c:pt idx="130">
                  <c:v>1.3100000000000001E-2</c:v>
                </c:pt>
                <c:pt idx="131">
                  <c:v>1.32E-2</c:v>
                </c:pt>
                <c:pt idx="132">
                  <c:v>1.3299999999999999E-2</c:v>
                </c:pt>
                <c:pt idx="133">
                  <c:v>1.34E-2</c:v>
                </c:pt>
                <c:pt idx="134">
                  <c:v>1.35E-2</c:v>
                </c:pt>
                <c:pt idx="135">
                  <c:v>1.3599999999999999E-2</c:v>
                </c:pt>
                <c:pt idx="136">
                  <c:v>1.37E-2</c:v>
                </c:pt>
                <c:pt idx="137">
                  <c:v>1.38E-2</c:v>
                </c:pt>
                <c:pt idx="138">
                  <c:v>1.3899999999999999E-2</c:v>
                </c:pt>
                <c:pt idx="139">
                  <c:v>1.4E-2</c:v>
                </c:pt>
                <c:pt idx="140">
                  <c:v>1.41E-2</c:v>
                </c:pt>
                <c:pt idx="141">
                  <c:v>1.4200000000000001E-2</c:v>
                </c:pt>
                <c:pt idx="142">
                  <c:v>1.43E-2</c:v>
                </c:pt>
                <c:pt idx="143">
                  <c:v>1.44E-2</c:v>
                </c:pt>
                <c:pt idx="144">
                  <c:v>1.4500000000000001E-2</c:v>
                </c:pt>
                <c:pt idx="145">
                  <c:v>1.46E-2</c:v>
                </c:pt>
                <c:pt idx="146">
                  <c:v>1.47E-2</c:v>
                </c:pt>
                <c:pt idx="147">
                  <c:v>1.4800000000000001E-2</c:v>
                </c:pt>
                <c:pt idx="148">
                  <c:v>1.49E-2</c:v>
                </c:pt>
                <c:pt idx="149">
                  <c:v>1.4999999999999999E-2</c:v>
                </c:pt>
                <c:pt idx="150">
                  <c:v>1.5100000000000001E-2</c:v>
                </c:pt>
                <c:pt idx="151">
                  <c:v>1.52E-2</c:v>
                </c:pt>
                <c:pt idx="152">
                  <c:v>1.5299999999999999E-2</c:v>
                </c:pt>
                <c:pt idx="153">
                  <c:v>1.54E-2</c:v>
                </c:pt>
                <c:pt idx="154">
                  <c:v>1.55E-2</c:v>
                </c:pt>
                <c:pt idx="155">
                  <c:v>1.5599999999999999E-2</c:v>
                </c:pt>
                <c:pt idx="156">
                  <c:v>1.5699999999999999E-2</c:v>
                </c:pt>
                <c:pt idx="157">
                  <c:v>1.5800000000000002E-2</c:v>
                </c:pt>
                <c:pt idx="158">
                  <c:v>1.5900000000000001E-2</c:v>
                </c:pt>
                <c:pt idx="159">
                  <c:v>1.6E-2</c:v>
                </c:pt>
                <c:pt idx="160">
                  <c:v>1.61E-2</c:v>
                </c:pt>
                <c:pt idx="161">
                  <c:v>1.6199999999999999E-2</c:v>
                </c:pt>
                <c:pt idx="162">
                  <c:v>1.6299999999999999E-2</c:v>
                </c:pt>
                <c:pt idx="163">
                  <c:v>1.6400000000000001E-2</c:v>
                </c:pt>
                <c:pt idx="164">
                  <c:v>1.6500000000000001E-2</c:v>
                </c:pt>
                <c:pt idx="165">
                  <c:v>1.66E-2</c:v>
                </c:pt>
                <c:pt idx="166">
                  <c:v>1.67E-2</c:v>
                </c:pt>
                <c:pt idx="167">
                  <c:v>1.6799999999999999E-2</c:v>
                </c:pt>
                <c:pt idx="168">
                  <c:v>1.6899999999999998E-2</c:v>
                </c:pt>
                <c:pt idx="169">
                  <c:v>1.7000000000000001E-2</c:v>
                </c:pt>
                <c:pt idx="170">
                  <c:v>1.7100000000000001E-2</c:v>
                </c:pt>
              </c:numCache>
            </c:numRef>
          </c:xVal>
          <c:yVal>
            <c:numRef>
              <c:f>'Exercise 2'!$B$14:$B$184</c:f>
              <c:numCache>
                <c:formatCode>General</c:formatCode>
                <c:ptCount val="171"/>
                <c:pt idx="0">
                  <c:v>-9.2824596527958843</c:v>
                </c:pt>
                <c:pt idx="1">
                  <c:v>13.378750960962892</c:v>
                </c:pt>
                <c:pt idx="2">
                  <c:v>14.252776842857804</c:v>
                </c:pt>
                <c:pt idx="3">
                  <c:v>12.881579632938886</c:v>
                </c:pt>
                <c:pt idx="4">
                  <c:v>11.40401874990039</c:v>
                </c:pt>
                <c:pt idx="5">
                  <c:v>10.127676910186112</c:v>
                </c:pt>
                <c:pt idx="6">
                  <c:v>9.0673452871993607</c:v>
                </c:pt>
                <c:pt idx="7">
                  <c:v>8.1884622237723317</c:v>
                </c:pt>
                <c:pt idx="8">
                  <c:v>7.4542842444592701</c:v>
                </c:pt>
                <c:pt idx="9">
                  <c:v>6.8345505340438386</c:v>
                </c:pt>
                <c:pt idx="10">
                  <c:v>6.3058082199172851</c:v>
                </c:pt>
                <c:pt idx="11">
                  <c:v>5.8501261461196652</c:v>
                </c:pt>
                <c:pt idx="12">
                  <c:v>5.4537620213340823</c:v>
                </c:pt>
                <c:pt idx="13">
                  <c:v>5.1060948909727095</c:v>
                </c:pt>
                <c:pt idx="14">
                  <c:v>4.798828798086312</c:v>
                </c:pt>
                <c:pt idx="15">
                  <c:v>4.5254113215088481</c:v>
                </c:pt>
                <c:pt idx="16">
                  <c:v>4.2806102223903775</c:v>
                </c:pt>
                <c:pt idx="17">
                  <c:v>4.0602036436296141</c:v>
                </c:pt>
                <c:pt idx="18">
                  <c:v>3.8607514528462175</c:v>
                </c:pt>
                <c:pt idx="19">
                  <c:v>3.6794247712214099</c:v>
                </c:pt>
                <c:pt idx="20">
                  <c:v>3.5138775380904499</c:v>
                </c:pt>
                <c:pt idx="21">
                  <c:v>3.3621487272264581</c:v>
                </c:pt>
                <c:pt idx="22">
                  <c:v>3.2225871390643754</c:v>
                </c:pt>
                <c:pt idx="23">
                  <c:v>3.0937929911203024</c:v>
                </c:pt>
                <c:pt idx="24">
                  <c:v>2.9745721336260824</c:v>
                </c:pt>
                <c:pt idx="25">
                  <c:v>2.8638998467217616</c:v>
                </c:pt>
                <c:pt idx="26">
                  <c:v>2.7608919773762448</c:v>
                </c:pt>
                <c:pt idx="27">
                  <c:v>2.6647817488766616</c:v>
                </c:pt>
                <c:pt idx="28">
                  <c:v>2.5749009915255288</c:v>
                </c:pt>
                <c:pt idx="29">
                  <c:v>2.4906648468737722</c:v>
                </c:pt>
                <c:pt idx="30">
                  <c:v>2.4115592216670594</c:v>
                </c:pt>
                <c:pt idx="31">
                  <c:v>2.3371304341512524</c:v>
                </c:pt>
                <c:pt idx="32">
                  <c:v>2.2669766202384816</c:v>
                </c:pt>
                <c:pt idx="33">
                  <c:v>2.2007405614480136</c:v>
                </c:pt>
                <c:pt idx="34">
                  <c:v>2.1381036684880619</c:v>
                </c:pt>
                <c:pt idx="35">
                  <c:v>2.0787809095894261</c:v>
                </c:pt>
                <c:pt idx="36">
                  <c:v>2.0225165154214935</c:v>
                </c:pt>
                <c:pt idx="37">
                  <c:v>1.9690803256801646</c:v>
                </c:pt>
                <c:pt idx="38">
                  <c:v>1.9182646684988414</c:v>
                </c:pt>
                <c:pt idx="39">
                  <c:v>1.8698816843817938</c:v>
                </c:pt>
                <c:pt idx="40">
                  <c:v>1.8237610226560415</c:v>
                </c:pt>
                <c:pt idx="41">
                  <c:v>1.7797478514359164</c:v>
                </c:pt>
                <c:pt idx="42">
                  <c:v>1.7377011325172802</c:v>
                </c:pt>
                <c:pt idx="43">
                  <c:v>1.6974921210192808</c:v>
                </c:pt>
                <c:pt idx="44">
                  <c:v>1.659003056396084</c:v>
                </c:pt>
                <c:pt idx="45">
                  <c:v>1.6221260169786271</c:v>
                </c:pt>
                <c:pt idx="46">
                  <c:v>1.5867619147333243</c:v>
                </c:pt>
                <c:pt idx="47">
                  <c:v>1.5528196106413352</c:v>
                </c:pt>
                <c:pt idx="48">
                  <c:v>1.5202151341661865</c:v>
                </c:pt>
                <c:pt idx="49">
                  <c:v>1.4888709928138584</c:v>
                </c:pt>
                <c:pt idx="50">
                  <c:v>1.45871555989684</c:v>
                </c:pt>
                <c:pt idx="51">
                  <c:v>1.4296825303711838</c:v>
                </c:pt>
                <c:pt idx="52">
                  <c:v>1.4017104360864809</c:v>
                </c:pt>
                <c:pt idx="53">
                  <c:v>1.3747422130238836</c:v>
                </c:pt>
                <c:pt idx="54">
                  <c:v>1.3487248141380235</c:v>
                </c:pt>
                <c:pt idx="55">
                  <c:v>1.3236088622982862</c:v>
                </c:pt>
                <c:pt idx="56">
                  <c:v>1.299348338570619</c:v>
                </c:pt>
                <c:pt idx="57">
                  <c:v>1.2759003017151271</c:v>
                </c:pt>
                <c:pt idx="58">
                  <c:v>1.2532246353153895</c:v>
                </c:pt>
                <c:pt idx="59">
                  <c:v>1.2312838194177291</c:v>
                </c:pt>
                <c:pt idx="60">
                  <c:v>1.2100427239550111</c:v>
                </c:pt>
                <c:pt idx="61">
                  <c:v>1.189468421570208</c:v>
                </c:pt>
                <c:pt idx="62">
                  <c:v>1.1695300177485093</c:v>
                </c:pt>
                <c:pt idx="63">
                  <c:v>1.1501984964202796</c:v>
                </c:pt>
                <c:pt idx="64">
                  <c:v>1.1314465794166799</c:v>
                </c:pt>
                <c:pt idx="65">
                  <c:v>1.1132485983502085</c:v>
                </c:pt>
                <c:pt idx="66">
                  <c:v>1.0955803776580615</c:v>
                </c:pt>
                <c:pt idx="67">
                  <c:v>1.0784191276905188</c:v>
                </c:pt>
                <c:pt idx="68">
                  <c:v>1.0617433468526238</c:v>
                </c:pt>
                <c:pt idx="69">
                  <c:v>1.0455327319176828</c:v>
                </c:pt>
                <c:pt idx="70">
                  <c:v>1.0297680957278135</c:v>
                </c:pt>
                <c:pt idx="71">
                  <c:v>1.0144312915816718</c:v>
                </c:pt>
                <c:pt idx="72">
                  <c:v>0.99950514368423049</c:v>
                </c:pt>
                <c:pt idx="73">
                  <c:v>0.98497338309934312</c:v>
                </c:pt>
                <c:pt idx="74">
                  <c:v>0.97082058870400501</c:v>
                </c:pt>
                <c:pt idx="75">
                  <c:v>0.9570321326946728</c:v>
                </c:pt>
                <c:pt idx="76">
                  <c:v>0.943594130241593</c:v>
                </c:pt>
                <c:pt idx="77">
                  <c:v>0.93049339292754751</c:v>
                </c:pt>
                <c:pt idx="78">
                  <c:v>0.91771738564337746</c:v>
                </c:pt>
                <c:pt idx="79">
                  <c:v>0.90525418664466362</c:v>
                </c:pt>
                <c:pt idx="80">
                  <c:v>0.893092450502456</c:v>
                </c:pt>
                <c:pt idx="81">
                  <c:v>0.88122137370644693</c:v>
                </c:pt>
                <c:pt idx="82">
                  <c:v>0.86963066270172795</c:v>
                </c:pt>
                <c:pt idx="83">
                  <c:v>0.858310504160676</c:v>
                </c:pt>
                <c:pt idx="84">
                  <c:v>0.84725153730978608</c:v>
                </c:pt>
                <c:pt idx="85">
                  <c:v>0.83644482814767307</c:v>
                </c:pt>
                <c:pt idx="86">
                  <c:v>0.82588184540520726</c:v>
                </c:pt>
                <c:pt idx="87">
                  <c:v>0.81555443811202111</c:v>
                </c:pt>
                <c:pt idx="88">
                  <c:v>0.80545481464557855</c:v>
                </c:pt>
                <c:pt idx="89">
                  <c:v>0.79557552314977498</c:v>
                </c:pt>
                <c:pt idx="90">
                  <c:v>0.78590943321978479</c:v>
                </c:pt>
                <c:pt idx="91">
                  <c:v>0.77644971875867208</c:v>
                </c:pt>
                <c:pt idx="92">
                  <c:v>0.76718984191924955</c:v>
                </c:pt>
                <c:pt idx="93">
                  <c:v>0.75812353805189636</c:v>
                </c:pt>
                <c:pt idx="94">
                  <c:v>0.74924480158559248</c:v>
                </c:pt>
                <c:pt idx="95">
                  <c:v>0.74054787277537659</c:v>
                </c:pt>
                <c:pt idx="96">
                  <c:v>0.73202722525484232</c:v>
                </c:pt>
                <c:pt idx="97">
                  <c:v>0.7236775543372056</c:v>
                </c:pt>
                <c:pt idx="98">
                  <c:v>0.71549376601295656</c:v>
                </c:pt>
                <c:pt idx="99">
                  <c:v>0.70747096659619424</c:v>
                </c:pt>
                <c:pt idx="100">
                  <c:v>0.69960445297546947</c:v>
                </c:pt>
                <c:pt idx="101">
                  <c:v>0.69188970342836509</c:v>
                </c:pt>
                <c:pt idx="102">
                  <c:v>0.68432236896215559</c:v>
                </c:pt>
                <c:pt idx="103">
                  <c:v>0.67689826514573193</c:v>
                </c:pt>
                <c:pt idx="104">
                  <c:v>0.66961336440059049</c:v>
                </c:pt>
                <c:pt idx="105">
                  <c:v>0.6624637887210697</c:v>
                </c:pt>
                <c:pt idx="106">
                  <c:v>0.65544580279621223</c:v>
                </c:pt>
                <c:pt idx="107">
                  <c:v>0.64855580750764341</c:v>
                </c:pt>
                <c:pt idx="108">
                  <c:v>0.64179033377970529</c:v>
                </c:pt>
                <c:pt idx="109">
                  <c:v>0.63514603675978354</c:v>
                </c:pt>
                <c:pt idx="110">
                  <c:v>0.62861969030833609</c:v>
                </c:pt>
                <c:pt idx="111">
                  <c:v>0.62220818177956316</c:v>
                </c:pt>
                <c:pt idx="112">
                  <c:v>0.61590850707499445</c:v>
                </c:pt>
                <c:pt idx="113">
                  <c:v>0.6097177659534917</c:v>
                </c:pt>
                <c:pt idx="114">
                  <c:v>0.60363315758229374</c:v>
                </c:pt>
                <c:pt idx="115">
                  <c:v>0.59765197631477496</c:v>
                </c:pt>
                <c:pt idx="116">
                  <c:v>0.5917716076815579</c:v>
                </c:pt>
                <c:pt idx="117">
                  <c:v>0.58598952458250542</c:v>
                </c:pt>
                <c:pt idx="118">
                  <c:v>0.58030328366795125</c:v>
                </c:pt>
                <c:pt idx="119">
                  <c:v>0.57471052189828797</c:v>
                </c:pt>
                <c:pt idx="120">
                  <c:v>0.56920895327174115</c:v>
                </c:pt>
                <c:pt idx="121">
                  <c:v>0.56379636571081893</c:v>
                </c:pt>
                <c:pt idx="122">
                  <c:v>0.55847061809853138</c:v>
                </c:pt>
                <c:pt idx="123">
                  <c:v>0.55322963745604237</c:v>
                </c:pt>
                <c:pt idx="124">
                  <c:v>0.5480714162539464</c:v>
                </c:pt>
                <c:pt idx="125">
                  <c:v>0.54299400984984447</c:v>
                </c:pt>
                <c:pt idx="126">
                  <c:v>0.5379955340453545</c:v>
                </c:pt>
                <c:pt idx="127">
                  <c:v>0.5330741627561123</c:v>
                </c:pt>
                <c:pt idx="128">
                  <c:v>0.52822812578871392</c:v>
                </c:pt>
                <c:pt idx="129">
                  <c:v>0.5234557067189155</c:v>
                </c:pt>
                <c:pt idx="130">
                  <c:v>0.51875524086575309</c:v>
                </c:pt>
                <c:pt idx="131">
                  <c:v>0.51412511335656219</c:v>
                </c:pt>
                <c:pt idx="132">
                  <c:v>0.50956375727817194</c:v>
                </c:pt>
                <c:pt idx="133">
                  <c:v>0.50506965190983288</c:v>
                </c:pt>
                <c:pt idx="134">
                  <c:v>0.50064132103369297</c:v>
                </c:pt>
                <c:pt idx="135">
                  <c:v>0.4962773313188803</c:v>
                </c:pt>
                <c:pt idx="136">
                  <c:v>0.49197629077547966</c:v>
                </c:pt>
                <c:pt idx="137">
                  <c:v>0.48773684727490108</c:v>
                </c:pt>
                <c:pt idx="138">
                  <c:v>0.48355768713333813</c:v>
                </c:pt>
                <c:pt idx="139">
                  <c:v>0.4794375337551996</c:v>
                </c:pt>
                <c:pt idx="140">
                  <c:v>0.47537514633357492</c:v>
                </c:pt>
                <c:pt idx="141">
                  <c:v>0.47136931860495346</c:v>
                </c:pt>
                <c:pt idx="142">
                  <c:v>0.46741887765557544</c:v>
                </c:pt>
                <c:pt idx="143">
                  <c:v>0.46352268277693309</c:v>
                </c:pt>
                <c:pt idx="144">
                  <c:v>0.45967962436807885</c:v>
                </c:pt>
                <c:pt idx="145">
                  <c:v>0.45588862288252052</c:v>
                </c:pt>
                <c:pt idx="146">
                  <c:v>0.45214862781760656</c:v>
                </c:pt>
                <c:pt idx="147">
                  <c:v>0.4484586167444149</c:v>
                </c:pt>
                <c:pt idx="148">
                  <c:v>0.44481759437626278</c:v>
                </c:pt>
                <c:pt idx="149">
                  <c:v>0.44122459167405759</c:v>
                </c:pt>
                <c:pt idx="150">
                  <c:v>0.43767866498679853</c:v>
                </c:pt>
                <c:pt idx="151">
                  <c:v>0.43417889522563013</c:v>
                </c:pt>
                <c:pt idx="152">
                  <c:v>0.43072438706992811</c:v>
                </c:pt>
                <c:pt idx="153">
                  <c:v>0.42731426820397755</c:v>
                </c:pt>
                <c:pt idx="154">
                  <c:v>0.42394768858288001</c:v>
                </c:pt>
                <c:pt idx="155">
                  <c:v>0.42062381972638696</c:v>
                </c:pt>
                <c:pt idx="156">
                  <c:v>0.41734185403943314</c:v>
                </c:pt>
                <c:pt idx="157">
                  <c:v>0.41410100415819673</c:v>
                </c:pt>
                <c:pt idx="158">
                  <c:v>0.41090050232057496</c:v>
                </c:pt>
                <c:pt idx="159">
                  <c:v>0.40773959976001872</c:v>
                </c:pt>
                <c:pt idx="160">
                  <c:v>0.40461756612172106</c:v>
                </c:pt>
                <c:pt idx="161">
                  <c:v>0.40153368890020436</c:v>
                </c:pt>
                <c:pt idx="162">
                  <c:v>0.39848727289739538</c:v>
                </c:pt>
                <c:pt idx="163">
                  <c:v>0.39547763970032446</c:v>
                </c:pt>
                <c:pt idx="164">
                  <c:v>0.39250412717762362</c:v>
                </c:pt>
                <c:pt idx="165">
                  <c:v>0.38956608899403877</c:v>
                </c:pt>
                <c:pt idx="166">
                  <c:v>0.38666289414221056</c:v>
                </c:pt>
                <c:pt idx="167">
                  <c:v>0.38379392649100919</c:v>
                </c:pt>
                <c:pt idx="168">
                  <c:v>0.38095858434974528</c:v>
                </c:pt>
                <c:pt idx="169">
                  <c:v>0.37815628004761048</c:v>
                </c:pt>
                <c:pt idx="170">
                  <c:v>0.37538643952772943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D9-4162-97A2-FF727471E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532712"/>
        <c:axId val="679537632"/>
      </c:scatterChart>
      <c:valAx>
        <c:axId val="679532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37632"/>
        <c:crosses val="autoZero"/>
        <c:crossBetween val="midCat"/>
      </c:valAx>
      <c:valAx>
        <c:axId val="679537632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32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196850</xdr:colOff>
      <xdr:row>14</xdr:row>
      <xdr:rowOff>63500</xdr:rowOff>
    </xdr:from>
    <xdr:to>
      <xdr:col>24</xdr:col>
      <xdr:colOff>577850</xdr:colOff>
      <xdr:row>20</xdr:row>
      <xdr:rowOff>171450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CEEB29C-006D-4B37-996D-A927DE959ACA}"/>
            </a:ext>
          </a:extLst>
        </xdr:cNvPr>
        <xdr:cNvSpPr txBox="1"/>
      </xdr:nvSpPr>
      <xdr:spPr>
        <a:xfrm>
          <a:off x="10560050" y="2641600"/>
          <a:ext cx="4648200" cy="1212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oneCellAnchor>
    <xdr:from>
      <xdr:col>17</xdr:col>
      <xdr:colOff>298450</xdr:colOff>
      <xdr:row>14</xdr:row>
      <xdr:rowOff>76200</xdr:rowOff>
    </xdr:from>
    <xdr:ext cx="4437240" cy="9366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5FF9740B-BA1A-4449-A634-A5311821A164}"/>
                </a:ext>
              </a:extLst>
            </xdr:cNvPr>
            <xdr:cNvSpPr txBox="1"/>
          </xdr:nvSpPr>
          <xdr:spPr>
            <a:xfrm>
              <a:off x="10661650" y="2654300"/>
              <a:ext cx="4437240" cy="9366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n-US" sz="28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𝑅𝑇</m:t>
                        </m:r>
                      </m:num>
                      <m:den>
                        <m:sSub>
                          <m:sSubPr>
                            <m:ctrlPr>
                              <a:rPr lang="en-US" sz="2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en-US" sz="28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2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𝑎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8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</m:rad>
                        <m:sSub>
                          <m:sSubPr>
                            <m:ctrlPr>
                              <a:rPr lang="en-US" sz="2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2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5FF9740B-BA1A-4449-A634-A5311821A164}"/>
                </a:ext>
              </a:extLst>
            </xdr:cNvPr>
            <xdr:cNvSpPr txBox="1"/>
          </xdr:nvSpPr>
          <xdr:spPr>
            <a:xfrm>
              <a:off x="10661650" y="2654300"/>
              <a:ext cx="4437240" cy="9366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800" b="0" i="0">
                  <a:latin typeface="Cambria Math" panose="02040503050406030204" pitchFamily="18" charset="0"/>
                </a:rPr>
                <a:t>𝑃=𝑅𝑇/(𝑉_𝑚−𝑏)−𝑎/(√𝑇 𝑉_𝑚 (𝑉_𝑚+𝑏))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10</xdr:col>
      <xdr:colOff>206375</xdr:colOff>
      <xdr:row>26</xdr:row>
      <xdr:rowOff>34925</xdr:rowOff>
    </xdr:from>
    <xdr:to>
      <xdr:col>17</xdr:col>
      <xdr:colOff>511175</xdr:colOff>
      <xdr:row>41</xdr:row>
      <xdr:rowOff>15875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00EA362-86F6-415A-B8BA-823D6A95A1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34C92-4944-45BC-B642-C4EBE82325D3}">
  <sheetPr codeName="Sheet1"/>
  <dimension ref="A1:I184"/>
  <sheetViews>
    <sheetView tabSelected="1" workbookViewId="0">
      <selection activeCell="B9" sqref="B9"/>
    </sheetView>
  </sheetViews>
  <sheetFormatPr defaultRowHeight="14.5" x14ac:dyDescent="0.35"/>
  <cols>
    <col min="2" max="2" width="10.81640625" bestFit="1" customWidth="1"/>
    <col min="6" max="6" width="11.81640625" bestFit="1" customWidth="1"/>
  </cols>
  <sheetData>
    <row r="1" spans="1:9" x14ac:dyDescent="0.35">
      <c r="A1" s="1" t="s">
        <v>1</v>
      </c>
    </row>
    <row r="2" spans="1:9" x14ac:dyDescent="0.35">
      <c r="A2" t="s">
        <v>2</v>
      </c>
      <c r="B2">
        <v>126.2</v>
      </c>
      <c r="C2" t="s">
        <v>5</v>
      </c>
      <c r="E2" t="s">
        <v>4</v>
      </c>
      <c r="F2">
        <f>0.42748*B5^2*B2^2.5/(B3)</f>
        <v>1.5373841744674153E-5</v>
      </c>
    </row>
    <row r="3" spans="1:9" x14ac:dyDescent="0.35">
      <c r="A3" t="s">
        <v>3</v>
      </c>
      <c r="B3">
        <v>33.5</v>
      </c>
      <c r="C3" t="s">
        <v>6</v>
      </c>
      <c r="E3" t="s">
        <v>0</v>
      </c>
      <c r="F3">
        <f>0.08664*B5*B2/B3</f>
        <v>2.6783325793432834E-5</v>
      </c>
    </row>
    <row r="5" spans="1:9" x14ac:dyDescent="0.35">
      <c r="A5" t="s">
        <v>7</v>
      </c>
      <c r="B5">
        <v>8.2059999999999997E-5</v>
      </c>
      <c r="C5" t="s">
        <v>8</v>
      </c>
    </row>
    <row r="7" spans="1:9" x14ac:dyDescent="0.35">
      <c r="A7" s="1" t="s">
        <v>10</v>
      </c>
      <c r="E7" s="1" t="s">
        <v>9</v>
      </c>
    </row>
    <row r="8" spans="1:9" x14ac:dyDescent="0.35">
      <c r="A8" t="s">
        <v>11</v>
      </c>
      <c r="B8">
        <v>0.1</v>
      </c>
      <c r="C8" t="s">
        <v>6</v>
      </c>
      <c r="E8">
        <f>(B5*B10/(B9-F3))-(F2/(SQRT(B10)*B9*(B9+F3)))-B8</f>
        <v>1.1652272631416092</v>
      </c>
    </row>
    <row r="9" spans="1:9" x14ac:dyDescent="0.35">
      <c r="A9" t="s">
        <v>12</v>
      </c>
      <c r="B9">
        <v>6.3219934722364268E-3</v>
      </c>
      <c r="C9" t="s">
        <v>14</v>
      </c>
      <c r="E9">
        <f>(B5*B10/(B9-F3))-(F2/(SQRT(B10)*B9*(B9+F3)))-B8</f>
        <v>1.1652272631416092</v>
      </c>
      <c r="G9" t="s">
        <v>15</v>
      </c>
      <c r="H9">
        <v>2.0775626600437895E-4</v>
      </c>
      <c r="I9" t="s">
        <v>14</v>
      </c>
    </row>
    <row r="10" spans="1:9" x14ac:dyDescent="0.35">
      <c r="A10" t="s">
        <v>13</v>
      </c>
      <c r="B10">
        <v>100</v>
      </c>
      <c r="C10" t="s">
        <v>5</v>
      </c>
      <c r="G10" t="s">
        <v>16</v>
      </c>
      <c r="H10">
        <v>6.3219934722364302E-3</v>
      </c>
      <c r="I10" t="s">
        <v>14</v>
      </c>
    </row>
    <row r="13" spans="1:9" x14ac:dyDescent="0.35">
      <c r="A13" s="1" t="s">
        <v>12</v>
      </c>
      <c r="B13" s="1" t="s">
        <v>9</v>
      </c>
      <c r="D13" s="1" t="s">
        <v>11</v>
      </c>
      <c r="E13" s="1" t="s">
        <v>12</v>
      </c>
      <c r="F13" s="1" t="s">
        <v>9</v>
      </c>
    </row>
    <row r="14" spans="1:9" x14ac:dyDescent="0.35">
      <c r="A14">
        <v>1E-4</v>
      </c>
      <c r="B14">
        <f>($B$5*$B$10/(A14-$F$3))-($F$2/(SQRT($B$10)*A14*(A14+$F$3)))-$B$8</f>
        <v>-9.2824596527958843</v>
      </c>
      <c r="D14">
        <f>0.01</f>
        <v>0.01</v>
      </c>
      <c r="E14">
        <v>1.1809010015001564E-4</v>
      </c>
      <c r="F14">
        <f>($B$5*$B$10/(E14-$F$3))-($F$2/(SQRT($B$10)*E14*(E14+$F$3)))-D14</f>
        <v>2.7035134110044157E-7</v>
      </c>
    </row>
    <row r="15" spans="1:9" x14ac:dyDescent="0.35">
      <c r="A15">
        <v>2.0000000000000001E-4</v>
      </c>
      <c r="B15">
        <f>($B$5*$B$10/(A15-$F$3))-($F$2/(SQRT($B$10)*A15*(A15+$F$3)))-$B$8</f>
        <v>13.378750960962892</v>
      </c>
      <c r="D15">
        <v>0.1</v>
      </c>
      <c r="E15">
        <v>1.1831749932081856E-4</v>
      </c>
      <c r="F15">
        <f t="shared" ref="F15:F78" si="0">($B$5*$B$10/(E15-$F$3))-($F$2/(SQRT($B$10)*E15*(E15+$F$3)))-D15</f>
        <v>1.4787332192067737E-9</v>
      </c>
    </row>
    <row r="16" spans="1:9" x14ac:dyDescent="0.35">
      <c r="A16">
        <v>2.9999999999999997E-4</v>
      </c>
      <c r="B16">
        <f t="shared" ref="B16:B44" si="1">($B$5*$B$10/(A16-$F$3))-($F$2/(SQRT($B$10)*A16*(A16+$F$3)))-$B$8</f>
        <v>14.252776842857804</v>
      </c>
      <c r="D16">
        <v>0.2</v>
      </c>
      <c r="E16">
        <v>1.1831749932081856E-4</v>
      </c>
      <c r="F16">
        <f t="shared" si="0"/>
        <v>-9.9999998521266786E-2</v>
      </c>
    </row>
    <row r="17" spans="1:6" x14ac:dyDescent="0.35">
      <c r="A17">
        <v>4.0000000000000002E-4</v>
      </c>
      <c r="B17">
        <f t="shared" si="1"/>
        <v>12.881579632938886</v>
      </c>
      <c r="D17">
        <v>0.3</v>
      </c>
      <c r="E17">
        <v>1.1831749932081856E-4</v>
      </c>
      <c r="F17">
        <f t="shared" si="0"/>
        <v>-0.19999999852126676</v>
      </c>
    </row>
    <row r="18" spans="1:6" x14ac:dyDescent="0.35">
      <c r="A18">
        <v>5.0000000000000001E-4</v>
      </c>
      <c r="B18">
        <f t="shared" si="1"/>
        <v>11.40401874990039</v>
      </c>
      <c r="D18">
        <v>0.4</v>
      </c>
      <c r="E18">
        <v>1.1831749932081856E-4</v>
      </c>
      <c r="F18">
        <f t="shared" si="0"/>
        <v>-0.2999999985212668</v>
      </c>
    </row>
    <row r="19" spans="1:6" x14ac:dyDescent="0.35">
      <c r="A19">
        <v>5.9999999999999995E-4</v>
      </c>
      <c r="B19">
        <f t="shared" si="1"/>
        <v>10.127676910186112</v>
      </c>
      <c r="D19">
        <v>0.5</v>
      </c>
      <c r="E19">
        <v>1.1831749932081856E-4</v>
      </c>
      <c r="F19">
        <f t="shared" si="0"/>
        <v>-0.39999999852126678</v>
      </c>
    </row>
    <row r="20" spans="1:6" x14ac:dyDescent="0.35">
      <c r="A20">
        <v>6.9999999999999999E-4</v>
      </c>
      <c r="B20">
        <f t="shared" si="1"/>
        <v>9.0673452871993607</v>
      </c>
      <c r="D20">
        <v>0.6</v>
      </c>
      <c r="E20">
        <v>1.1831749932081856E-4</v>
      </c>
      <c r="F20">
        <f t="shared" si="0"/>
        <v>-0.49999999852126675</v>
      </c>
    </row>
    <row r="21" spans="1:6" x14ac:dyDescent="0.35">
      <c r="A21">
        <v>8.0000000000000004E-4</v>
      </c>
      <c r="B21">
        <f t="shared" si="1"/>
        <v>8.1884622237723317</v>
      </c>
      <c r="D21">
        <v>0.7</v>
      </c>
      <c r="E21">
        <v>1.1831749932081856E-4</v>
      </c>
      <c r="F21">
        <f t="shared" si="0"/>
        <v>-0.59999999852126673</v>
      </c>
    </row>
    <row r="22" spans="1:6" x14ac:dyDescent="0.35">
      <c r="A22">
        <v>8.9999999999999998E-4</v>
      </c>
      <c r="B22">
        <f t="shared" si="1"/>
        <v>7.4542842444592701</v>
      </c>
      <c r="D22">
        <v>0.8</v>
      </c>
      <c r="E22">
        <v>1.1831749932081856E-4</v>
      </c>
      <c r="F22">
        <f t="shared" si="0"/>
        <v>-0.69999999852126682</v>
      </c>
    </row>
    <row r="23" spans="1:6" x14ac:dyDescent="0.35">
      <c r="A23">
        <v>1E-3</v>
      </c>
      <c r="B23">
        <f t="shared" si="1"/>
        <v>6.8345505340438386</v>
      </c>
      <c r="D23">
        <v>0.9</v>
      </c>
      <c r="E23">
        <v>1.1831749932081856E-4</v>
      </c>
      <c r="F23">
        <f t="shared" si="0"/>
        <v>-0.7999999985212668</v>
      </c>
    </row>
    <row r="24" spans="1:6" x14ac:dyDescent="0.35">
      <c r="A24">
        <v>1.1000000000000001E-3</v>
      </c>
      <c r="B24">
        <f t="shared" si="1"/>
        <v>6.3058082199172851</v>
      </c>
      <c r="D24">
        <v>1</v>
      </c>
      <c r="E24">
        <v>1.1831749932081856E-4</v>
      </c>
      <c r="F24">
        <f t="shared" si="0"/>
        <v>-0.89999999852126678</v>
      </c>
    </row>
    <row r="25" spans="1:6" x14ac:dyDescent="0.35">
      <c r="A25">
        <v>1.1999999999999999E-3</v>
      </c>
      <c r="B25">
        <f t="shared" si="1"/>
        <v>5.8501261461196652</v>
      </c>
      <c r="D25">
        <v>1.1000000000000001</v>
      </c>
      <c r="E25">
        <v>1.1831749932081856E-4</v>
      </c>
      <c r="F25">
        <f t="shared" si="0"/>
        <v>-0.99999999852126686</v>
      </c>
    </row>
    <row r="26" spans="1:6" x14ac:dyDescent="0.35">
      <c r="A26">
        <v>1.2999999999999999E-3</v>
      </c>
      <c r="B26">
        <f t="shared" si="1"/>
        <v>5.4537620213340823</v>
      </c>
      <c r="D26">
        <v>1.2</v>
      </c>
      <c r="E26">
        <v>1.1831749932081856E-4</v>
      </c>
      <c r="F26">
        <f t="shared" si="0"/>
        <v>-1.0999999985212667</v>
      </c>
    </row>
    <row r="27" spans="1:6" x14ac:dyDescent="0.35">
      <c r="A27">
        <v>1.4E-3</v>
      </c>
      <c r="B27">
        <f t="shared" si="1"/>
        <v>5.1060948909727095</v>
      </c>
      <c r="D27">
        <v>1.3</v>
      </c>
      <c r="E27">
        <v>1.1831749932081856E-4</v>
      </c>
      <c r="F27">
        <f t="shared" si="0"/>
        <v>-1.1999999985212668</v>
      </c>
    </row>
    <row r="28" spans="1:6" x14ac:dyDescent="0.35">
      <c r="A28">
        <v>1.5E-3</v>
      </c>
      <c r="B28">
        <f t="shared" si="1"/>
        <v>4.798828798086312</v>
      </c>
      <c r="D28">
        <v>1.4</v>
      </c>
      <c r="E28">
        <v>1.1831749932081856E-4</v>
      </c>
      <c r="F28">
        <f t="shared" si="0"/>
        <v>-1.2999999985212667</v>
      </c>
    </row>
    <row r="29" spans="1:6" x14ac:dyDescent="0.35">
      <c r="A29">
        <v>1.6000000000000001E-3</v>
      </c>
      <c r="B29">
        <f t="shared" si="1"/>
        <v>4.5254113215088481</v>
      </c>
      <c r="D29">
        <v>1.5</v>
      </c>
      <c r="E29">
        <v>1.1831749932081856E-4</v>
      </c>
      <c r="F29">
        <f t="shared" si="0"/>
        <v>-1.3999999985212668</v>
      </c>
    </row>
    <row r="30" spans="1:6" x14ac:dyDescent="0.35">
      <c r="A30">
        <v>1.6999999999999999E-3</v>
      </c>
      <c r="B30">
        <f t="shared" si="1"/>
        <v>4.2806102223903775</v>
      </c>
      <c r="D30">
        <v>1.6</v>
      </c>
      <c r="E30">
        <v>1.1831749932081856E-4</v>
      </c>
      <c r="F30">
        <f t="shared" si="0"/>
        <v>-1.4999999985212669</v>
      </c>
    </row>
    <row r="31" spans="1:6" x14ac:dyDescent="0.35">
      <c r="A31">
        <v>1.8E-3</v>
      </c>
      <c r="B31">
        <f t="shared" si="1"/>
        <v>4.0602036436296141</v>
      </c>
      <c r="D31">
        <v>1.7</v>
      </c>
      <c r="E31">
        <v>1.1831749932081856E-4</v>
      </c>
      <c r="F31">
        <f t="shared" si="0"/>
        <v>-1.5999999985212667</v>
      </c>
    </row>
    <row r="32" spans="1:6" x14ac:dyDescent="0.35">
      <c r="A32">
        <v>1.9E-3</v>
      </c>
      <c r="B32">
        <f t="shared" si="1"/>
        <v>3.8607514528462175</v>
      </c>
      <c r="D32">
        <v>1.8</v>
      </c>
      <c r="E32">
        <v>1.1831749932081856E-4</v>
      </c>
      <c r="F32">
        <f t="shared" si="0"/>
        <v>-1.6999999985212668</v>
      </c>
    </row>
    <row r="33" spans="1:6" x14ac:dyDescent="0.35">
      <c r="A33">
        <v>2E-3</v>
      </c>
      <c r="B33">
        <f t="shared" si="1"/>
        <v>3.6794247712214099</v>
      </c>
      <c r="D33">
        <v>1.9</v>
      </c>
      <c r="E33">
        <v>1.1831749932081856E-4</v>
      </c>
      <c r="F33">
        <f t="shared" si="0"/>
        <v>-1.7999999985212667</v>
      </c>
    </row>
    <row r="34" spans="1:6" x14ac:dyDescent="0.35">
      <c r="A34">
        <v>2.0999999999999999E-3</v>
      </c>
      <c r="B34">
        <f t="shared" si="1"/>
        <v>3.5138775380904499</v>
      </c>
      <c r="D34">
        <v>2</v>
      </c>
      <c r="E34">
        <v>1.1831749932081856E-4</v>
      </c>
      <c r="F34">
        <f t="shared" si="0"/>
        <v>-1.8999999985212668</v>
      </c>
    </row>
    <row r="35" spans="1:6" x14ac:dyDescent="0.35">
      <c r="A35">
        <v>2.2000000000000001E-3</v>
      </c>
      <c r="B35">
        <f t="shared" si="1"/>
        <v>3.3621487272264581</v>
      </c>
      <c r="D35">
        <v>2.1</v>
      </c>
      <c r="E35">
        <v>1.1831749932081856E-4</v>
      </c>
      <c r="F35">
        <f t="shared" si="0"/>
        <v>-1.9999999985212669</v>
      </c>
    </row>
    <row r="36" spans="1:6" x14ac:dyDescent="0.35">
      <c r="A36">
        <v>2.3E-3</v>
      </c>
      <c r="B36">
        <f t="shared" si="1"/>
        <v>3.2225871390643754</v>
      </c>
      <c r="D36">
        <v>2.2000000000000002</v>
      </c>
      <c r="E36">
        <v>1.1831749932081856E-4</v>
      </c>
      <c r="F36">
        <f t="shared" si="0"/>
        <v>-2.099999998521267</v>
      </c>
    </row>
    <row r="37" spans="1:6" x14ac:dyDescent="0.35">
      <c r="A37">
        <v>2.3999999999999998E-3</v>
      </c>
      <c r="B37">
        <f t="shared" si="1"/>
        <v>3.0937929911203024</v>
      </c>
      <c r="D37">
        <v>2.2999999999999998</v>
      </c>
      <c r="E37">
        <v>1.1831749932081856E-4</v>
      </c>
      <c r="F37">
        <f t="shared" si="0"/>
        <v>-2.1999999985212666</v>
      </c>
    </row>
    <row r="38" spans="1:6" x14ac:dyDescent="0.35">
      <c r="A38">
        <v>2.5000000000000001E-3</v>
      </c>
      <c r="B38">
        <f t="shared" si="1"/>
        <v>2.9745721336260824</v>
      </c>
      <c r="D38">
        <v>2.4</v>
      </c>
      <c r="E38">
        <v>1.1831749932081856E-4</v>
      </c>
      <c r="F38">
        <f t="shared" si="0"/>
        <v>-2.2999999985212667</v>
      </c>
    </row>
    <row r="39" spans="1:6" x14ac:dyDescent="0.35">
      <c r="A39">
        <v>2.5999999999999999E-3</v>
      </c>
      <c r="B39">
        <f t="shared" si="1"/>
        <v>2.8638998467217616</v>
      </c>
      <c r="D39">
        <v>2.5</v>
      </c>
      <c r="E39">
        <v>1.1831749932081856E-4</v>
      </c>
      <c r="F39">
        <f t="shared" si="0"/>
        <v>-2.3999999985212668</v>
      </c>
    </row>
    <row r="40" spans="1:6" x14ac:dyDescent="0.35">
      <c r="A40">
        <v>2.7000000000000001E-3</v>
      </c>
      <c r="B40">
        <f t="shared" si="1"/>
        <v>2.7608919773762448</v>
      </c>
      <c r="D40">
        <v>2.6</v>
      </c>
      <c r="E40">
        <v>1.1831749932081856E-4</v>
      </c>
      <c r="F40">
        <f t="shared" si="0"/>
        <v>-2.4999999985212669</v>
      </c>
    </row>
    <row r="41" spans="1:6" x14ac:dyDescent="0.35">
      <c r="A41">
        <v>2.8E-3</v>
      </c>
      <c r="B41">
        <f t="shared" si="1"/>
        <v>2.6647817488766616</v>
      </c>
      <c r="D41">
        <v>2.7</v>
      </c>
      <c r="E41">
        <v>1.1831749932081856E-4</v>
      </c>
      <c r="F41">
        <f t="shared" si="0"/>
        <v>-2.599999998521267</v>
      </c>
    </row>
    <row r="42" spans="1:6" x14ac:dyDescent="0.35">
      <c r="A42">
        <v>2.8999999999999998E-3</v>
      </c>
      <c r="B42">
        <f t="shared" si="1"/>
        <v>2.5749009915255288</v>
      </c>
      <c r="D42">
        <v>2.8</v>
      </c>
      <c r="E42">
        <v>1.1831749932081856E-4</v>
      </c>
      <c r="F42">
        <f t="shared" si="0"/>
        <v>-2.6999999985212666</v>
      </c>
    </row>
    <row r="43" spans="1:6" x14ac:dyDescent="0.35">
      <c r="A43">
        <v>3.0000000000000001E-3</v>
      </c>
      <c r="B43">
        <f t="shared" si="1"/>
        <v>2.4906648468737722</v>
      </c>
      <c r="D43">
        <v>2.9</v>
      </c>
      <c r="E43">
        <v>1.1831749932081856E-4</v>
      </c>
      <c r="F43">
        <f t="shared" si="0"/>
        <v>-2.7999999985212667</v>
      </c>
    </row>
    <row r="44" spans="1:6" x14ac:dyDescent="0.35">
      <c r="A44">
        <v>3.0999999999999999E-3</v>
      </c>
      <c r="B44">
        <f t="shared" si="1"/>
        <v>2.4115592216670594</v>
      </c>
      <c r="D44">
        <v>3</v>
      </c>
      <c r="E44">
        <v>1.1831749932081856E-4</v>
      </c>
      <c r="F44">
        <f t="shared" si="0"/>
        <v>-2.8999999985212668</v>
      </c>
    </row>
    <row r="45" spans="1:6" x14ac:dyDescent="0.35">
      <c r="A45">
        <v>3.2000000000000002E-3</v>
      </c>
      <c r="B45">
        <f>($B$5*$B$10/(A45-$F$3))-($F$2/(SQRT($B$10)*A45*(A45+$F$3)))-$B$8</f>
        <v>2.3371304341512524</v>
      </c>
      <c r="D45">
        <v>3.1</v>
      </c>
      <c r="E45">
        <v>1.1831749932081856E-4</v>
      </c>
      <c r="F45">
        <f t="shared" si="0"/>
        <v>-2.9999999985212669</v>
      </c>
    </row>
    <row r="46" spans="1:6" x14ac:dyDescent="0.35">
      <c r="A46">
        <v>3.3E-3</v>
      </c>
      <c r="B46">
        <f>($B$5*$B$10/(A46-$F$3))-($F$2/(SQRT($B$10)*A46*(A46+$F$3)))-$B$8</f>
        <v>2.2669766202384816</v>
      </c>
      <c r="D46">
        <v>3.2</v>
      </c>
      <c r="E46">
        <v>1.1831749932081856E-4</v>
      </c>
      <c r="F46">
        <f t="shared" si="0"/>
        <v>-3.099999998521267</v>
      </c>
    </row>
    <row r="47" spans="1:6" x14ac:dyDescent="0.35">
      <c r="A47">
        <v>3.3999999999999998E-3</v>
      </c>
      <c r="B47">
        <f t="shared" ref="B47:B73" si="2">($B$5*$B$10/(A47-$F$3))-($F$2/(SQRT($B$10)*A47*(A47+$F$3)))-$B$8</f>
        <v>2.2007405614480136</v>
      </c>
      <c r="D47">
        <v>3.3</v>
      </c>
      <c r="E47">
        <v>1.1831749932081856E-4</v>
      </c>
      <c r="F47">
        <f t="shared" si="0"/>
        <v>-3.1999999985212666</v>
      </c>
    </row>
    <row r="48" spans="1:6" x14ac:dyDescent="0.35">
      <c r="A48">
        <v>3.5000000000000001E-3</v>
      </c>
      <c r="B48">
        <f t="shared" si="2"/>
        <v>2.1381036684880619</v>
      </c>
      <c r="D48">
        <v>3.4</v>
      </c>
      <c r="E48">
        <v>1.1831749932081856E-4</v>
      </c>
      <c r="F48">
        <f t="shared" si="0"/>
        <v>-3.2999999985212667</v>
      </c>
    </row>
    <row r="49" spans="1:6" x14ac:dyDescent="0.35">
      <c r="A49">
        <v>3.5999999999999999E-3</v>
      </c>
      <c r="B49">
        <f t="shared" si="2"/>
        <v>2.0787809095894261</v>
      </c>
      <c r="D49">
        <v>3.5</v>
      </c>
      <c r="E49">
        <v>1.1831749932081856E-4</v>
      </c>
      <c r="F49">
        <f t="shared" si="0"/>
        <v>-3.3999999985212668</v>
      </c>
    </row>
    <row r="50" spans="1:6" x14ac:dyDescent="0.35">
      <c r="A50">
        <v>3.7000000000000002E-3</v>
      </c>
      <c r="B50">
        <f t="shared" si="2"/>
        <v>2.0225165154214935</v>
      </c>
      <c r="D50">
        <v>3.6</v>
      </c>
      <c r="E50">
        <v>1.1831749932081856E-4</v>
      </c>
      <c r="F50">
        <f t="shared" si="0"/>
        <v>-3.4999999985212669</v>
      </c>
    </row>
    <row r="51" spans="1:6" x14ac:dyDescent="0.35">
      <c r="A51">
        <v>3.8E-3</v>
      </c>
      <c r="B51">
        <f t="shared" si="2"/>
        <v>1.9690803256801646</v>
      </c>
      <c r="D51">
        <v>3.7</v>
      </c>
      <c r="E51">
        <v>1.1831749932081856E-4</v>
      </c>
      <c r="F51">
        <f t="shared" si="0"/>
        <v>-3.599999998521267</v>
      </c>
    </row>
    <row r="52" spans="1:6" x14ac:dyDescent="0.35">
      <c r="A52">
        <v>3.8999999999999998E-3</v>
      </c>
      <c r="B52">
        <f t="shared" si="2"/>
        <v>1.9182646684988414</v>
      </c>
      <c r="D52">
        <v>3.8</v>
      </c>
      <c r="E52">
        <v>1.1831749932081856E-4</v>
      </c>
      <c r="F52">
        <f t="shared" si="0"/>
        <v>-3.6999999985212666</v>
      </c>
    </row>
    <row r="53" spans="1:6" x14ac:dyDescent="0.35">
      <c r="A53">
        <v>4.0000000000000001E-3</v>
      </c>
      <c r="B53">
        <f t="shared" si="2"/>
        <v>1.8698816843817938</v>
      </c>
      <c r="D53">
        <v>3.9</v>
      </c>
      <c r="E53">
        <v>1.1831749932081856E-4</v>
      </c>
      <c r="F53">
        <f t="shared" si="0"/>
        <v>-3.7999999985212667</v>
      </c>
    </row>
    <row r="54" spans="1:6" x14ac:dyDescent="0.35">
      <c r="A54">
        <v>4.1000000000000003E-3</v>
      </c>
      <c r="B54">
        <f t="shared" si="2"/>
        <v>1.8237610226560415</v>
      </c>
      <c r="D54">
        <v>4</v>
      </c>
      <c r="E54">
        <v>1.1831749932081856E-4</v>
      </c>
      <c r="F54">
        <f t="shared" si="0"/>
        <v>-3.8999999985212668</v>
      </c>
    </row>
    <row r="55" spans="1:6" x14ac:dyDescent="0.35">
      <c r="A55">
        <v>4.1999999999999997E-3</v>
      </c>
      <c r="B55">
        <f t="shared" si="2"/>
        <v>1.7797478514359164</v>
      </c>
      <c r="D55">
        <v>4.0999999999999996</v>
      </c>
      <c r="E55">
        <v>1.1831749932081856E-4</v>
      </c>
      <c r="F55">
        <f t="shared" si="0"/>
        <v>-3.9999999985212664</v>
      </c>
    </row>
    <row r="56" spans="1:6" x14ac:dyDescent="0.35">
      <c r="A56">
        <v>4.3E-3</v>
      </c>
      <c r="B56">
        <f t="shared" si="2"/>
        <v>1.7377011325172802</v>
      </c>
      <c r="D56">
        <v>4.2</v>
      </c>
      <c r="E56">
        <v>1.1831749932081856E-4</v>
      </c>
      <c r="F56">
        <f t="shared" si="0"/>
        <v>-4.099999998521267</v>
      </c>
    </row>
    <row r="57" spans="1:6" x14ac:dyDescent="0.35">
      <c r="A57">
        <v>4.4000000000000003E-3</v>
      </c>
      <c r="B57">
        <f t="shared" si="2"/>
        <v>1.6974921210192808</v>
      </c>
      <c r="D57">
        <v>4.3</v>
      </c>
      <c r="E57">
        <v>1.1831749932081856E-4</v>
      </c>
      <c r="F57">
        <f t="shared" si="0"/>
        <v>-4.1999999985212666</v>
      </c>
    </row>
    <row r="58" spans="1:6" x14ac:dyDescent="0.35">
      <c r="A58">
        <v>4.4999999999999997E-3</v>
      </c>
      <c r="B58">
        <f t="shared" si="2"/>
        <v>1.659003056396084</v>
      </c>
      <c r="D58">
        <v>4.4000000000000004</v>
      </c>
      <c r="E58">
        <v>1.1831749932081856E-4</v>
      </c>
      <c r="F58">
        <f t="shared" si="0"/>
        <v>-4.2999999985212671</v>
      </c>
    </row>
    <row r="59" spans="1:6" x14ac:dyDescent="0.35">
      <c r="A59">
        <v>4.5999999999999999E-3</v>
      </c>
      <c r="B59">
        <f t="shared" si="2"/>
        <v>1.6221260169786271</v>
      </c>
      <c r="D59">
        <v>4.5</v>
      </c>
      <c r="E59">
        <v>1.1831749932081856E-4</v>
      </c>
      <c r="F59">
        <f t="shared" si="0"/>
        <v>-4.3999999985212668</v>
      </c>
    </row>
    <row r="60" spans="1:6" x14ac:dyDescent="0.35">
      <c r="A60">
        <v>4.7000000000000002E-3</v>
      </c>
      <c r="B60">
        <f t="shared" si="2"/>
        <v>1.5867619147333243</v>
      </c>
      <c r="D60">
        <v>4.5999999999999996</v>
      </c>
      <c r="E60">
        <v>1.1831749932081856E-4</v>
      </c>
      <c r="F60">
        <f t="shared" si="0"/>
        <v>-4.4999999985212664</v>
      </c>
    </row>
    <row r="61" spans="1:6" x14ac:dyDescent="0.35">
      <c r="A61">
        <v>4.7999999999999996E-3</v>
      </c>
      <c r="B61">
        <f t="shared" si="2"/>
        <v>1.5528196106413352</v>
      </c>
      <c r="D61">
        <v>4.7</v>
      </c>
      <c r="E61">
        <v>1.1831749932081856E-4</v>
      </c>
      <c r="F61">
        <f t="shared" si="0"/>
        <v>-4.599999998521267</v>
      </c>
    </row>
    <row r="62" spans="1:6" x14ac:dyDescent="0.35">
      <c r="A62">
        <v>4.8999999999999998E-3</v>
      </c>
      <c r="B62">
        <f t="shared" si="2"/>
        <v>1.5202151341661865</v>
      </c>
      <c r="D62">
        <v>4.8</v>
      </c>
      <c r="E62">
        <v>1.1831749932081856E-4</v>
      </c>
      <c r="F62">
        <f t="shared" si="0"/>
        <v>-4.6999999985212666</v>
      </c>
    </row>
    <row r="63" spans="1:6" x14ac:dyDescent="0.35">
      <c r="A63">
        <v>5.0000000000000001E-3</v>
      </c>
      <c r="B63">
        <f t="shared" si="2"/>
        <v>1.4888709928138584</v>
      </c>
      <c r="D63">
        <v>4.9000000000000004</v>
      </c>
      <c r="E63">
        <v>1.1831749932081856E-4</v>
      </c>
      <c r="F63">
        <f t="shared" si="0"/>
        <v>-4.7999999985212671</v>
      </c>
    </row>
    <row r="64" spans="1:6" x14ac:dyDescent="0.35">
      <c r="A64">
        <v>5.1000000000000004E-3</v>
      </c>
      <c r="B64">
        <f t="shared" si="2"/>
        <v>1.45871555989684</v>
      </c>
      <c r="D64">
        <v>5</v>
      </c>
      <c r="E64">
        <v>1.1831749932081856E-4</v>
      </c>
      <c r="F64">
        <f t="shared" si="0"/>
        <v>-4.8999999985212668</v>
      </c>
    </row>
    <row r="65" spans="1:6" x14ac:dyDescent="0.35">
      <c r="A65">
        <v>5.1999999999999998E-3</v>
      </c>
      <c r="B65">
        <f t="shared" si="2"/>
        <v>1.4296825303711838</v>
      </c>
      <c r="D65">
        <v>5.0999999999999996</v>
      </c>
      <c r="E65">
        <v>1.1831749932081856E-4</v>
      </c>
      <c r="F65">
        <f t="shared" si="0"/>
        <v>-4.9999999985212664</v>
      </c>
    </row>
    <row r="66" spans="1:6" x14ac:dyDescent="0.35">
      <c r="A66">
        <v>5.3E-3</v>
      </c>
      <c r="B66">
        <f t="shared" si="2"/>
        <v>1.4017104360864809</v>
      </c>
      <c r="D66">
        <v>5.2</v>
      </c>
      <c r="E66">
        <v>1.1831749932081856E-4</v>
      </c>
      <c r="F66">
        <f t="shared" si="0"/>
        <v>-5.099999998521267</v>
      </c>
    </row>
    <row r="67" spans="1:6" x14ac:dyDescent="0.35">
      <c r="A67">
        <v>5.4000000000000003E-3</v>
      </c>
      <c r="B67">
        <f t="shared" si="2"/>
        <v>1.3747422130238836</v>
      </c>
      <c r="D67">
        <v>5.3</v>
      </c>
      <c r="E67">
        <v>1.1831749932081856E-4</v>
      </c>
      <c r="F67">
        <f t="shared" si="0"/>
        <v>-5.1999999985212666</v>
      </c>
    </row>
    <row r="68" spans="1:6" x14ac:dyDescent="0.35">
      <c r="A68">
        <v>5.4999999999999997E-3</v>
      </c>
      <c r="B68">
        <f t="shared" si="2"/>
        <v>1.3487248141380235</v>
      </c>
      <c r="D68">
        <v>5.4</v>
      </c>
      <c r="E68">
        <v>1.1831749932081856E-4</v>
      </c>
      <c r="F68">
        <f t="shared" si="0"/>
        <v>-5.2999999985212671</v>
      </c>
    </row>
    <row r="69" spans="1:6" x14ac:dyDescent="0.35">
      <c r="A69">
        <v>5.5999999999999999E-3</v>
      </c>
      <c r="B69">
        <f t="shared" si="2"/>
        <v>1.3236088622982862</v>
      </c>
      <c r="D69">
        <v>5.5</v>
      </c>
      <c r="E69">
        <v>1.1831749932081856E-4</v>
      </c>
      <c r="F69">
        <f t="shared" si="0"/>
        <v>-5.3999999985212668</v>
      </c>
    </row>
    <row r="70" spans="1:6" x14ac:dyDescent="0.35">
      <c r="A70">
        <v>5.7000000000000002E-3</v>
      </c>
      <c r="B70">
        <f t="shared" si="2"/>
        <v>1.299348338570619</v>
      </c>
      <c r="D70">
        <v>5.6</v>
      </c>
      <c r="E70">
        <v>1.1831749932081856E-4</v>
      </c>
      <c r="F70">
        <f t="shared" si="0"/>
        <v>-5.4999999985212664</v>
      </c>
    </row>
    <row r="71" spans="1:6" x14ac:dyDescent="0.35">
      <c r="A71">
        <v>5.7999999999999996E-3</v>
      </c>
      <c r="B71">
        <f t="shared" si="2"/>
        <v>1.2759003017151271</v>
      </c>
      <c r="D71">
        <v>5.7</v>
      </c>
      <c r="E71">
        <v>1.1831749932081856E-4</v>
      </c>
      <c r="F71">
        <f t="shared" si="0"/>
        <v>-5.599999998521267</v>
      </c>
    </row>
    <row r="72" spans="1:6" x14ac:dyDescent="0.35">
      <c r="A72">
        <v>5.8999999999999999E-3</v>
      </c>
      <c r="B72">
        <f t="shared" si="2"/>
        <v>1.2532246353153895</v>
      </c>
      <c r="D72">
        <v>5.8</v>
      </c>
      <c r="E72">
        <v>1.1831749932081856E-4</v>
      </c>
      <c r="F72">
        <f t="shared" si="0"/>
        <v>-5.6999999985212666</v>
      </c>
    </row>
    <row r="73" spans="1:6" x14ac:dyDescent="0.35">
      <c r="A73">
        <v>6.0000000000000001E-3</v>
      </c>
      <c r="B73">
        <f t="shared" si="2"/>
        <v>1.2312838194177291</v>
      </c>
      <c r="D73">
        <v>5.9</v>
      </c>
      <c r="E73">
        <v>1.1831749932081856E-4</v>
      </c>
      <c r="F73">
        <f t="shared" si="0"/>
        <v>-5.7999999985212671</v>
      </c>
    </row>
    <row r="74" spans="1:6" x14ac:dyDescent="0.35">
      <c r="A74">
        <v>6.1000000000000004E-3</v>
      </c>
      <c r="B74">
        <f>($B$5*$B$10/(A74-$F$3))-($F$2/(SQRT($B$10)*A74*(A74+$F$3)))-$B$8</f>
        <v>1.2100427239550111</v>
      </c>
      <c r="D74">
        <v>6</v>
      </c>
      <c r="E74">
        <v>1.1831749932081856E-4</v>
      </c>
      <c r="F74">
        <f t="shared" si="0"/>
        <v>-5.8999999985212668</v>
      </c>
    </row>
    <row r="75" spans="1:6" x14ac:dyDescent="0.35">
      <c r="A75">
        <v>6.1999999999999998E-3</v>
      </c>
      <c r="B75">
        <f>($B$5*$B$10/(A75-$F$3))-($F$2/(SQRT($B$10)*A75*(A75+$F$3)))-$B$8</f>
        <v>1.189468421570208</v>
      </c>
      <c r="D75">
        <v>6.1</v>
      </c>
      <c r="E75">
        <v>1.1831749932081856E-4</v>
      </c>
      <c r="F75">
        <f t="shared" si="0"/>
        <v>-5.9999999985212664</v>
      </c>
    </row>
    <row r="76" spans="1:6" x14ac:dyDescent="0.35">
      <c r="A76">
        <v>6.3E-3</v>
      </c>
      <c r="B76">
        <f t="shared" ref="B76:B139" si="3">($B$5*$B$10/(A76-$F$3))-($F$2/(SQRT($B$10)*A76*(A76+$F$3)))-$B$8</f>
        <v>1.1695300177485093</v>
      </c>
      <c r="D76">
        <v>6.2</v>
      </c>
      <c r="E76">
        <v>1.1831749932081856E-4</v>
      </c>
      <c r="F76">
        <f t="shared" si="0"/>
        <v>-6.099999998521267</v>
      </c>
    </row>
    <row r="77" spans="1:6" x14ac:dyDescent="0.35">
      <c r="A77">
        <v>6.4000000000000003E-3</v>
      </c>
      <c r="B77">
        <f t="shared" si="3"/>
        <v>1.1501984964202796</v>
      </c>
      <c r="D77">
        <v>6.3</v>
      </c>
      <c r="E77">
        <v>1.1831749932081856E-4</v>
      </c>
      <c r="F77">
        <f t="shared" si="0"/>
        <v>-6.1999999985212666</v>
      </c>
    </row>
    <row r="78" spans="1:6" x14ac:dyDescent="0.35">
      <c r="A78">
        <v>6.4999999999999997E-3</v>
      </c>
      <c r="B78">
        <f t="shared" si="3"/>
        <v>1.1314465794166799</v>
      </c>
      <c r="D78">
        <v>6.4</v>
      </c>
      <c r="E78">
        <v>1.1831749932081856E-4</v>
      </c>
      <c r="F78">
        <f t="shared" si="0"/>
        <v>-6.2999999985212671</v>
      </c>
    </row>
    <row r="79" spans="1:6" x14ac:dyDescent="0.35">
      <c r="A79">
        <v>6.6E-3</v>
      </c>
      <c r="B79">
        <f t="shared" si="3"/>
        <v>1.1132485983502085</v>
      </c>
      <c r="D79">
        <v>6.5</v>
      </c>
      <c r="E79">
        <v>1.1831749932081856E-4</v>
      </c>
      <c r="F79">
        <f t="shared" ref="F79:F114" si="4">($B$5*$B$10/(E79-$F$3))-($F$2/(SQRT($B$10)*E79*(E79+$F$3)))-D79</f>
        <v>-6.3999999985212668</v>
      </c>
    </row>
    <row r="80" spans="1:6" x14ac:dyDescent="0.35">
      <c r="A80">
        <v>6.7000000000000002E-3</v>
      </c>
      <c r="B80">
        <f t="shared" si="3"/>
        <v>1.0955803776580615</v>
      </c>
      <c r="D80">
        <v>6.6</v>
      </c>
      <c r="E80">
        <v>1.1831749932081856E-4</v>
      </c>
      <c r="F80">
        <f t="shared" si="4"/>
        <v>-6.4999999985212664</v>
      </c>
    </row>
    <row r="81" spans="1:6" x14ac:dyDescent="0.35">
      <c r="A81">
        <v>6.7999999999999996E-3</v>
      </c>
      <c r="B81">
        <f t="shared" si="3"/>
        <v>1.0784191276905188</v>
      </c>
      <c r="D81">
        <v>6.7</v>
      </c>
      <c r="E81">
        <v>1.1831749932081856E-4</v>
      </c>
      <c r="F81">
        <f t="shared" si="4"/>
        <v>-6.599999998521267</v>
      </c>
    </row>
    <row r="82" spans="1:6" x14ac:dyDescent="0.35">
      <c r="A82">
        <v>6.8999999999999999E-3</v>
      </c>
      <c r="B82">
        <f t="shared" si="3"/>
        <v>1.0617433468526238</v>
      </c>
      <c r="D82">
        <v>6.8</v>
      </c>
      <c r="E82">
        <v>1.1831749932081856E-4</v>
      </c>
      <c r="F82">
        <f t="shared" si="4"/>
        <v>-6.6999999985212666</v>
      </c>
    </row>
    <row r="83" spans="1:6" x14ac:dyDescent="0.35">
      <c r="A83">
        <v>7.0000000000000001E-3</v>
      </c>
      <c r="B83">
        <f t="shared" si="3"/>
        <v>1.0455327319176828</v>
      </c>
      <c r="D83">
        <v>6.9</v>
      </c>
      <c r="E83">
        <v>1.1831749932081856E-4</v>
      </c>
      <c r="F83">
        <f t="shared" si="4"/>
        <v>-6.7999999985212671</v>
      </c>
    </row>
    <row r="84" spans="1:6" x14ac:dyDescent="0.35">
      <c r="A84">
        <v>7.1000000000000004E-3</v>
      </c>
      <c r="B84">
        <f t="shared" si="3"/>
        <v>1.0297680957278135</v>
      </c>
      <c r="D84">
        <v>7</v>
      </c>
      <c r="E84">
        <v>1.1831749932081856E-4</v>
      </c>
      <c r="F84">
        <f t="shared" si="4"/>
        <v>-6.8999999985212668</v>
      </c>
    </row>
    <row r="85" spans="1:6" x14ac:dyDescent="0.35">
      <c r="A85">
        <v>7.1999999999999998E-3</v>
      </c>
      <c r="B85">
        <f t="shared" si="3"/>
        <v>1.0144312915816718</v>
      </c>
      <c r="D85">
        <v>7.1</v>
      </c>
      <c r="E85">
        <v>1.1831749932081856E-4</v>
      </c>
      <c r="F85">
        <f t="shared" si="4"/>
        <v>-6.9999999985212664</v>
      </c>
    </row>
    <row r="86" spans="1:6" x14ac:dyDescent="0.35">
      <c r="A86">
        <v>7.3000000000000001E-3</v>
      </c>
      <c r="B86">
        <f t="shared" si="3"/>
        <v>0.99950514368423049</v>
      </c>
      <c r="D86">
        <v>7.2</v>
      </c>
      <c r="E86">
        <v>1.1831749932081856E-4</v>
      </c>
      <c r="F86">
        <f t="shared" si="4"/>
        <v>-7.099999998521267</v>
      </c>
    </row>
    <row r="87" spans="1:6" x14ac:dyDescent="0.35">
      <c r="A87">
        <v>7.4000000000000003E-3</v>
      </c>
      <c r="B87">
        <f t="shared" si="3"/>
        <v>0.98497338309934312</v>
      </c>
      <c r="D87">
        <v>7.3</v>
      </c>
      <c r="E87">
        <v>1.1831749932081856E-4</v>
      </c>
      <c r="F87">
        <f t="shared" si="4"/>
        <v>-7.1999999985212666</v>
      </c>
    </row>
    <row r="88" spans="1:6" x14ac:dyDescent="0.35">
      <c r="A88">
        <v>7.4999999999999997E-3</v>
      </c>
      <c r="B88">
        <f t="shared" si="3"/>
        <v>0.97082058870400501</v>
      </c>
      <c r="D88">
        <v>7.4</v>
      </c>
      <c r="E88">
        <v>1.1831749932081856E-4</v>
      </c>
      <c r="F88">
        <f t="shared" si="4"/>
        <v>-7.2999999985212671</v>
      </c>
    </row>
    <row r="89" spans="1:6" x14ac:dyDescent="0.35">
      <c r="A89">
        <v>7.6E-3</v>
      </c>
      <c r="B89">
        <f t="shared" si="3"/>
        <v>0.9570321326946728</v>
      </c>
      <c r="D89">
        <v>7.5</v>
      </c>
      <c r="E89">
        <v>1.1831749932081856E-4</v>
      </c>
      <c r="F89">
        <f t="shared" si="4"/>
        <v>-7.3999999985212668</v>
      </c>
    </row>
    <row r="90" spans="1:6" x14ac:dyDescent="0.35">
      <c r="A90">
        <v>7.7000000000000002E-3</v>
      </c>
      <c r="B90">
        <f t="shared" si="3"/>
        <v>0.943594130241593</v>
      </c>
      <c r="D90">
        <v>7.6</v>
      </c>
      <c r="E90">
        <v>1.1831749932081856E-4</v>
      </c>
      <c r="F90">
        <f t="shared" si="4"/>
        <v>-7.4999999985212664</v>
      </c>
    </row>
    <row r="91" spans="1:6" x14ac:dyDescent="0.35">
      <c r="A91">
        <v>7.7999999999999996E-3</v>
      </c>
      <c r="B91">
        <f t="shared" si="3"/>
        <v>0.93049339292754751</v>
      </c>
      <c r="D91">
        <v>7.7</v>
      </c>
      <c r="E91">
        <v>1.1831749932081856E-4</v>
      </c>
      <c r="F91">
        <f t="shared" si="4"/>
        <v>-7.599999998521267</v>
      </c>
    </row>
    <row r="92" spans="1:6" x14ac:dyDescent="0.35">
      <c r="A92">
        <v>7.9000000000000008E-3</v>
      </c>
      <c r="B92">
        <f t="shared" si="3"/>
        <v>0.91771738564337746</v>
      </c>
      <c r="D92">
        <v>7.8</v>
      </c>
      <c r="E92">
        <v>1.1831749932081856E-4</v>
      </c>
      <c r="F92">
        <f t="shared" si="4"/>
        <v>-7.6999999985212666</v>
      </c>
    </row>
    <row r="93" spans="1:6" x14ac:dyDescent="0.35">
      <c r="A93">
        <v>8.0000000000000002E-3</v>
      </c>
      <c r="B93">
        <f t="shared" si="3"/>
        <v>0.90525418664466362</v>
      </c>
      <c r="D93">
        <v>7.9</v>
      </c>
      <c r="E93">
        <v>1.1831749932081856E-4</v>
      </c>
      <c r="F93">
        <f t="shared" si="4"/>
        <v>-7.7999999985212671</v>
      </c>
    </row>
    <row r="94" spans="1:6" x14ac:dyDescent="0.35">
      <c r="A94">
        <v>8.0999999999999996E-3</v>
      </c>
      <c r="B94">
        <f t="shared" si="3"/>
        <v>0.893092450502456</v>
      </c>
      <c r="D94">
        <v>8</v>
      </c>
      <c r="E94">
        <v>1.1831749932081856E-4</v>
      </c>
      <c r="F94">
        <f t="shared" si="4"/>
        <v>-7.8999999985212668</v>
      </c>
    </row>
    <row r="95" spans="1:6" x14ac:dyDescent="0.35">
      <c r="A95">
        <v>8.2000000000000007E-3</v>
      </c>
      <c r="B95">
        <f t="shared" si="3"/>
        <v>0.88122137370644693</v>
      </c>
      <c r="D95">
        <v>8.1</v>
      </c>
      <c r="E95">
        <v>1.1831749932081856E-4</v>
      </c>
      <c r="F95">
        <f t="shared" si="4"/>
        <v>-7.9999999985212664</v>
      </c>
    </row>
    <row r="96" spans="1:6" x14ac:dyDescent="0.35">
      <c r="A96">
        <v>8.3000000000000001E-3</v>
      </c>
      <c r="B96">
        <f t="shared" si="3"/>
        <v>0.86963066270172795</v>
      </c>
      <c r="D96">
        <v>8.1999999999999993</v>
      </c>
      <c r="E96">
        <v>1.1831749932081856E-4</v>
      </c>
      <c r="F96">
        <f t="shared" si="4"/>
        <v>-8.0999999985212661</v>
      </c>
    </row>
    <row r="97" spans="1:6" x14ac:dyDescent="0.35">
      <c r="A97">
        <v>8.3999999999999995E-3</v>
      </c>
      <c r="B97">
        <f t="shared" si="3"/>
        <v>0.858310504160676</v>
      </c>
      <c r="D97">
        <v>8.3000000000000007</v>
      </c>
      <c r="E97">
        <v>1.1831749932081856E-4</v>
      </c>
      <c r="F97">
        <f t="shared" si="4"/>
        <v>-8.1999999985212675</v>
      </c>
    </row>
    <row r="98" spans="1:6" x14ac:dyDescent="0.35">
      <c r="A98">
        <v>8.5000000000000006E-3</v>
      </c>
      <c r="B98">
        <f t="shared" si="3"/>
        <v>0.84725153730978608</v>
      </c>
      <c r="D98">
        <v>8.4</v>
      </c>
      <c r="E98">
        <v>1.1831749932081856E-4</v>
      </c>
      <c r="F98">
        <f t="shared" si="4"/>
        <v>-8.2999999985212671</v>
      </c>
    </row>
    <row r="99" spans="1:6" x14ac:dyDescent="0.35">
      <c r="A99">
        <v>8.6E-3</v>
      </c>
      <c r="B99">
        <f t="shared" si="3"/>
        <v>0.83644482814767307</v>
      </c>
      <c r="D99">
        <v>8.5</v>
      </c>
      <c r="E99">
        <v>1.1831749932081856E-4</v>
      </c>
      <c r="F99">
        <f t="shared" si="4"/>
        <v>-8.3999999985212668</v>
      </c>
    </row>
    <row r="100" spans="1:6" x14ac:dyDescent="0.35">
      <c r="A100">
        <v>8.6999999999999994E-3</v>
      </c>
      <c r="B100">
        <f t="shared" si="3"/>
        <v>0.82588184540520726</v>
      </c>
      <c r="D100">
        <v>8.6</v>
      </c>
      <c r="E100">
        <v>1.1831749932081856E-4</v>
      </c>
      <c r="F100">
        <f t="shared" si="4"/>
        <v>-8.4999999985212664</v>
      </c>
    </row>
    <row r="101" spans="1:6" x14ac:dyDescent="0.35">
      <c r="A101">
        <v>8.8000000000000005E-3</v>
      </c>
      <c r="B101">
        <f t="shared" si="3"/>
        <v>0.81555443811202111</v>
      </c>
      <c r="D101">
        <v>8.6999999999999993</v>
      </c>
      <c r="E101">
        <v>1.1831749932081856E-4</v>
      </c>
      <c r="F101">
        <f t="shared" si="4"/>
        <v>-8.5999999985212661</v>
      </c>
    </row>
    <row r="102" spans="1:6" x14ac:dyDescent="0.35">
      <c r="A102">
        <v>8.8999999999999999E-3</v>
      </c>
      <c r="B102">
        <f t="shared" si="3"/>
        <v>0.80545481464557855</v>
      </c>
      <c r="D102">
        <v>8.8000000000000007</v>
      </c>
      <c r="E102">
        <v>1.1831749932081856E-4</v>
      </c>
      <c r="F102">
        <f t="shared" si="4"/>
        <v>-8.6999999985212675</v>
      </c>
    </row>
    <row r="103" spans="1:6" x14ac:dyDescent="0.35">
      <c r="A103">
        <v>8.9999999999999993E-3</v>
      </c>
      <c r="B103">
        <f t="shared" si="3"/>
        <v>0.79557552314977498</v>
      </c>
      <c r="D103">
        <v>8.9</v>
      </c>
      <c r="E103">
        <v>1.1831749932081856E-4</v>
      </c>
      <c r="F103">
        <f t="shared" si="4"/>
        <v>-8.7999999985212671</v>
      </c>
    </row>
    <row r="104" spans="1:6" x14ac:dyDescent="0.35">
      <c r="A104">
        <v>9.1000000000000004E-3</v>
      </c>
      <c r="B104">
        <f t="shared" si="3"/>
        <v>0.78590943321978479</v>
      </c>
      <c r="D104">
        <v>9</v>
      </c>
      <c r="E104">
        <v>1.1831749932081856E-4</v>
      </c>
      <c r="F104">
        <f t="shared" si="4"/>
        <v>-8.8999999985212668</v>
      </c>
    </row>
    <row r="105" spans="1:6" x14ac:dyDescent="0.35">
      <c r="A105">
        <v>9.1999999999999998E-3</v>
      </c>
      <c r="B105">
        <f t="shared" si="3"/>
        <v>0.77644971875867208</v>
      </c>
      <c r="D105">
        <v>9.1</v>
      </c>
      <c r="E105">
        <v>1.1831749932081856E-4</v>
      </c>
      <c r="F105">
        <f t="shared" si="4"/>
        <v>-8.9999999985212664</v>
      </c>
    </row>
    <row r="106" spans="1:6" x14ac:dyDescent="0.35">
      <c r="A106">
        <v>9.2999999999999992E-3</v>
      </c>
      <c r="B106">
        <f t="shared" si="3"/>
        <v>0.76718984191924955</v>
      </c>
      <c r="D106">
        <v>9.1999999999999993</v>
      </c>
      <c r="E106">
        <v>1.1831749932081856E-4</v>
      </c>
      <c r="F106">
        <f t="shared" si="4"/>
        <v>-9.0999999985212661</v>
      </c>
    </row>
    <row r="107" spans="1:6" x14ac:dyDescent="0.35">
      <c r="A107">
        <v>9.4000000000000004E-3</v>
      </c>
      <c r="B107">
        <f t="shared" si="3"/>
        <v>0.75812353805189636</v>
      </c>
      <c r="D107">
        <v>9.3000000000000007</v>
      </c>
      <c r="E107">
        <v>1.1831749932081856E-4</v>
      </c>
      <c r="F107">
        <f t="shared" si="4"/>
        <v>-9.1999999985212675</v>
      </c>
    </row>
    <row r="108" spans="1:6" x14ac:dyDescent="0.35">
      <c r="A108">
        <v>9.4999999999999998E-3</v>
      </c>
      <c r="B108">
        <f t="shared" si="3"/>
        <v>0.74924480158559248</v>
      </c>
      <c r="D108">
        <v>9.4</v>
      </c>
      <c r="E108">
        <v>1.1831749932081856E-4</v>
      </c>
      <c r="F108">
        <f t="shared" si="4"/>
        <v>-9.2999999985212671</v>
      </c>
    </row>
    <row r="109" spans="1:6" x14ac:dyDescent="0.35">
      <c r="A109">
        <v>9.5999999999999992E-3</v>
      </c>
      <c r="B109">
        <f t="shared" si="3"/>
        <v>0.74054787277537659</v>
      </c>
      <c r="D109">
        <v>9.5</v>
      </c>
      <c r="E109">
        <v>1.1831749932081856E-4</v>
      </c>
      <c r="F109">
        <f t="shared" si="4"/>
        <v>-9.3999999985212668</v>
      </c>
    </row>
    <row r="110" spans="1:6" x14ac:dyDescent="0.35">
      <c r="A110">
        <v>9.7000000000000003E-3</v>
      </c>
      <c r="B110">
        <f t="shared" si="3"/>
        <v>0.73202722525484232</v>
      </c>
      <c r="D110">
        <v>9.6</v>
      </c>
      <c r="E110">
        <v>1.1831749932081856E-4</v>
      </c>
      <c r="F110">
        <f t="shared" si="4"/>
        <v>-9.4999999985212664</v>
      </c>
    </row>
    <row r="111" spans="1:6" x14ac:dyDescent="0.35">
      <c r="A111">
        <v>9.7999999999999997E-3</v>
      </c>
      <c r="B111">
        <f t="shared" si="3"/>
        <v>0.7236775543372056</v>
      </c>
      <c r="D111">
        <v>9.6999999999999993</v>
      </c>
      <c r="E111">
        <v>1.1831749932081856E-4</v>
      </c>
      <c r="F111">
        <f t="shared" si="4"/>
        <v>-9.5999999985212661</v>
      </c>
    </row>
    <row r="112" spans="1:6" x14ac:dyDescent="0.35">
      <c r="A112">
        <v>9.9000000000000008E-3</v>
      </c>
      <c r="B112">
        <f t="shared" si="3"/>
        <v>0.71549376601295656</v>
      </c>
      <c r="D112">
        <v>9.8000000000000007</v>
      </c>
      <c r="E112">
        <v>1.1831749932081856E-4</v>
      </c>
      <c r="F112">
        <f t="shared" si="4"/>
        <v>-9.6999999985212675</v>
      </c>
    </row>
    <row r="113" spans="1:6" x14ac:dyDescent="0.35">
      <c r="A113">
        <v>0.01</v>
      </c>
      <c r="B113">
        <f t="shared" si="3"/>
        <v>0.70747096659619424</v>
      </c>
      <c r="D113">
        <v>9.9</v>
      </c>
      <c r="E113">
        <v>1.1831749932081856E-4</v>
      </c>
      <c r="F113">
        <f t="shared" si="4"/>
        <v>-9.7999999985212671</v>
      </c>
    </row>
    <row r="114" spans="1:6" x14ac:dyDescent="0.35">
      <c r="A114">
        <v>1.01E-2</v>
      </c>
      <c r="B114">
        <f t="shared" si="3"/>
        <v>0.69960445297546947</v>
      </c>
      <c r="D114">
        <v>10</v>
      </c>
      <c r="E114">
        <v>1.1831749932081856E-4</v>
      </c>
      <c r="F114">
        <f t="shared" si="4"/>
        <v>-9.8999999985212668</v>
      </c>
    </row>
    <row r="115" spans="1:6" x14ac:dyDescent="0.35">
      <c r="A115">
        <v>1.0200000000000001E-2</v>
      </c>
      <c r="B115">
        <f t="shared" si="3"/>
        <v>0.69188970342836509</v>
      </c>
    </row>
    <row r="116" spans="1:6" x14ac:dyDescent="0.35">
      <c r="A116">
        <v>1.03E-2</v>
      </c>
      <c r="B116">
        <f t="shared" si="3"/>
        <v>0.68432236896215559</v>
      </c>
    </row>
    <row r="117" spans="1:6" x14ac:dyDescent="0.35">
      <c r="A117">
        <v>1.04E-2</v>
      </c>
      <c r="B117">
        <f t="shared" si="3"/>
        <v>0.67689826514573193</v>
      </c>
    </row>
    <row r="118" spans="1:6" x14ac:dyDescent="0.35">
      <c r="A118">
        <v>1.0500000000000001E-2</v>
      </c>
      <c r="B118">
        <f t="shared" si="3"/>
        <v>0.66961336440059049</v>
      </c>
    </row>
    <row r="119" spans="1:6" x14ac:dyDescent="0.35">
      <c r="A119">
        <v>1.06E-2</v>
      </c>
      <c r="B119">
        <f t="shared" si="3"/>
        <v>0.6624637887210697</v>
      </c>
    </row>
    <row r="120" spans="1:6" x14ac:dyDescent="0.35">
      <c r="A120">
        <v>1.0699999999999999E-2</v>
      </c>
      <c r="B120">
        <f t="shared" si="3"/>
        <v>0.65544580279621223</v>
      </c>
    </row>
    <row r="121" spans="1:6" x14ac:dyDescent="0.35">
      <c r="A121">
        <v>1.0800000000000001E-2</v>
      </c>
      <c r="B121">
        <f t="shared" si="3"/>
        <v>0.64855580750764341</v>
      </c>
    </row>
    <row r="122" spans="1:6" x14ac:dyDescent="0.35">
      <c r="A122">
        <v>1.09E-2</v>
      </c>
      <c r="B122">
        <f t="shared" si="3"/>
        <v>0.64179033377970529</v>
      </c>
    </row>
    <row r="123" spans="1:6" x14ac:dyDescent="0.35">
      <c r="A123">
        <v>1.0999999999999999E-2</v>
      </c>
      <c r="B123">
        <f t="shared" si="3"/>
        <v>0.63514603675978354</v>
      </c>
    </row>
    <row r="124" spans="1:6" x14ac:dyDescent="0.35">
      <c r="A124">
        <v>1.11E-2</v>
      </c>
      <c r="B124">
        <f t="shared" si="3"/>
        <v>0.62861969030833609</v>
      </c>
    </row>
    <row r="125" spans="1:6" x14ac:dyDescent="0.35">
      <c r="A125">
        <v>1.12E-2</v>
      </c>
      <c r="B125">
        <f t="shared" si="3"/>
        <v>0.62220818177956316</v>
      </c>
    </row>
    <row r="126" spans="1:6" x14ac:dyDescent="0.35">
      <c r="A126">
        <v>1.1299999999999999E-2</v>
      </c>
      <c r="B126">
        <f t="shared" si="3"/>
        <v>0.61590850707499445</v>
      </c>
    </row>
    <row r="127" spans="1:6" x14ac:dyDescent="0.35">
      <c r="A127">
        <v>1.14E-2</v>
      </c>
      <c r="B127">
        <f t="shared" si="3"/>
        <v>0.6097177659534917</v>
      </c>
    </row>
    <row r="128" spans="1:6" x14ac:dyDescent="0.35">
      <c r="A128">
        <v>1.15E-2</v>
      </c>
      <c r="B128">
        <f t="shared" si="3"/>
        <v>0.60363315758229374</v>
      </c>
    </row>
    <row r="129" spans="1:2" x14ac:dyDescent="0.35">
      <c r="A129">
        <v>1.1599999999999999E-2</v>
      </c>
      <c r="B129">
        <f t="shared" si="3"/>
        <v>0.59765197631477496</v>
      </c>
    </row>
    <row r="130" spans="1:2" x14ac:dyDescent="0.35">
      <c r="A130">
        <v>1.17E-2</v>
      </c>
      <c r="B130">
        <f t="shared" si="3"/>
        <v>0.5917716076815579</v>
      </c>
    </row>
    <row r="131" spans="1:2" x14ac:dyDescent="0.35">
      <c r="A131">
        <v>1.18E-2</v>
      </c>
      <c r="B131">
        <f t="shared" si="3"/>
        <v>0.58598952458250542</v>
      </c>
    </row>
    <row r="132" spans="1:2" x14ac:dyDescent="0.35">
      <c r="A132">
        <v>1.1900000000000001E-2</v>
      </c>
      <c r="B132">
        <f t="shared" si="3"/>
        <v>0.58030328366795125</v>
      </c>
    </row>
    <row r="133" spans="1:2" x14ac:dyDescent="0.35">
      <c r="A133">
        <v>1.2E-2</v>
      </c>
      <c r="B133">
        <f t="shared" si="3"/>
        <v>0.57471052189828797</v>
      </c>
    </row>
    <row r="134" spans="1:2" x14ac:dyDescent="0.35">
      <c r="A134">
        <v>1.21E-2</v>
      </c>
      <c r="B134">
        <f t="shared" si="3"/>
        <v>0.56920895327174115</v>
      </c>
    </row>
    <row r="135" spans="1:2" x14ac:dyDescent="0.35">
      <c r="A135">
        <v>1.2200000000000001E-2</v>
      </c>
      <c r="B135">
        <f t="shared" si="3"/>
        <v>0.56379636571081893</v>
      </c>
    </row>
    <row r="136" spans="1:2" x14ac:dyDescent="0.35">
      <c r="A136">
        <v>1.23E-2</v>
      </c>
      <c r="B136">
        <f t="shared" si="3"/>
        <v>0.55847061809853138</v>
      </c>
    </row>
    <row r="137" spans="1:2" x14ac:dyDescent="0.35">
      <c r="A137">
        <v>1.24E-2</v>
      </c>
      <c r="B137">
        <f t="shared" si="3"/>
        <v>0.55322963745604237</v>
      </c>
    </row>
    <row r="138" spans="1:2" x14ac:dyDescent="0.35">
      <c r="A138">
        <v>1.2500000000000001E-2</v>
      </c>
      <c r="B138">
        <f t="shared" si="3"/>
        <v>0.5480714162539464</v>
      </c>
    </row>
    <row r="139" spans="1:2" x14ac:dyDescent="0.35">
      <c r="A139">
        <v>1.26E-2</v>
      </c>
      <c r="B139">
        <f t="shared" si="3"/>
        <v>0.54299400984984447</v>
      </c>
    </row>
    <row r="140" spans="1:2" x14ac:dyDescent="0.35">
      <c r="A140">
        <v>1.2699999999999999E-2</v>
      </c>
      <c r="B140">
        <f t="shared" ref="B140:B184" si="5">($B$5*$B$10/(A140-$F$3))-($F$2/(SQRT($B$10)*A140*(A140+$F$3)))-$B$8</f>
        <v>0.5379955340453545</v>
      </c>
    </row>
    <row r="141" spans="1:2" x14ac:dyDescent="0.35">
      <c r="A141">
        <v>1.2800000000000001E-2</v>
      </c>
      <c r="B141">
        <f t="shared" si="5"/>
        <v>0.5330741627561123</v>
      </c>
    </row>
    <row r="142" spans="1:2" x14ac:dyDescent="0.35">
      <c r="A142">
        <v>1.29E-2</v>
      </c>
      <c r="B142">
        <f t="shared" si="5"/>
        <v>0.52822812578871392</v>
      </c>
    </row>
    <row r="143" spans="1:2" x14ac:dyDescent="0.35">
      <c r="A143">
        <v>1.2999999999999999E-2</v>
      </c>
      <c r="B143">
        <f t="shared" si="5"/>
        <v>0.5234557067189155</v>
      </c>
    </row>
    <row r="144" spans="1:2" x14ac:dyDescent="0.35">
      <c r="A144">
        <v>1.3100000000000001E-2</v>
      </c>
      <c r="B144">
        <f t="shared" si="5"/>
        <v>0.51875524086575309</v>
      </c>
    </row>
    <row r="145" spans="1:2" x14ac:dyDescent="0.35">
      <c r="A145">
        <v>1.32E-2</v>
      </c>
      <c r="B145">
        <f t="shared" si="5"/>
        <v>0.51412511335656219</v>
      </c>
    </row>
    <row r="146" spans="1:2" x14ac:dyDescent="0.35">
      <c r="A146">
        <v>1.3299999999999999E-2</v>
      </c>
      <c r="B146">
        <f t="shared" si="5"/>
        <v>0.50956375727817194</v>
      </c>
    </row>
    <row r="147" spans="1:2" x14ac:dyDescent="0.35">
      <c r="A147">
        <v>1.34E-2</v>
      </c>
      <c r="B147">
        <f t="shared" si="5"/>
        <v>0.50506965190983288</v>
      </c>
    </row>
    <row r="148" spans="1:2" x14ac:dyDescent="0.35">
      <c r="A148">
        <v>1.35E-2</v>
      </c>
      <c r="B148">
        <f t="shared" si="5"/>
        <v>0.50064132103369297</v>
      </c>
    </row>
    <row r="149" spans="1:2" x14ac:dyDescent="0.35">
      <c r="A149">
        <v>1.3599999999999999E-2</v>
      </c>
      <c r="B149">
        <f t="shared" si="5"/>
        <v>0.4962773313188803</v>
      </c>
    </row>
    <row r="150" spans="1:2" x14ac:dyDescent="0.35">
      <c r="A150">
        <v>1.37E-2</v>
      </c>
      <c r="B150">
        <f t="shared" si="5"/>
        <v>0.49197629077547966</v>
      </c>
    </row>
    <row r="151" spans="1:2" x14ac:dyDescent="0.35">
      <c r="A151">
        <v>1.38E-2</v>
      </c>
      <c r="B151">
        <f t="shared" si="5"/>
        <v>0.48773684727490108</v>
      </c>
    </row>
    <row r="152" spans="1:2" x14ac:dyDescent="0.35">
      <c r="A152">
        <v>1.3899999999999999E-2</v>
      </c>
      <c r="B152">
        <f t="shared" si="5"/>
        <v>0.48355768713333813</v>
      </c>
    </row>
    <row r="153" spans="1:2" x14ac:dyDescent="0.35">
      <c r="A153">
        <v>1.4E-2</v>
      </c>
      <c r="B153">
        <f t="shared" si="5"/>
        <v>0.4794375337551996</v>
      </c>
    </row>
    <row r="154" spans="1:2" x14ac:dyDescent="0.35">
      <c r="A154">
        <v>1.41E-2</v>
      </c>
      <c r="B154">
        <f t="shared" si="5"/>
        <v>0.47537514633357492</v>
      </c>
    </row>
    <row r="155" spans="1:2" x14ac:dyDescent="0.35">
      <c r="A155">
        <v>1.4200000000000001E-2</v>
      </c>
      <c r="B155">
        <f t="shared" si="5"/>
        <v>0.47136931860495346</v>
      </c>
    </row>
    <row r="156" spans="1:2" x14ac:dyDescent="0.35">
      <c r="A156">
        <v>1.43E-2</v>
      </c>
      <c r="B156">
        <f t="shared" si="5"/>
        <v>0.46741887765557544</v>
      </c>
    </row>
    <row r="157" spans="1:2" x14ac:dyDescent="0.35">
      <c r="A157">
        <v>1.44E-2</v>
      </c>
      <c r="B157">
        <f t="shared" si="5"/>
        <v>0.46352268277693309</v>
      </c>
    </row>
    <row r="158" spans="1:2" x14ac:dyDescent="0.35">
      <c r="A158">
        <v>1.4500000000000001E-2</v>
      </c>
      <c r="B158">
        <f t="shared" si="5"/>
        <v>0.45967962436807885</v>
      </c>
    </row>
    <row r="159" spans="1:2" x14ac:dyDescent="0.35">
      <c r="A159">
        <v>1.46E-2</v>
      </c>
      <c r="B159">
        <f t="shared" si="5"/>
        <v>0.45588862288252052</v>
      </c>
    </row>
    <row r="160" spans="1:2" x14ac:dyDescent="0.35">
      <c r="A160">
        <v>1.47E-2</v>
      </c>
      <c r="B160">
        <f t="shared" si="5"/>
        <v>0.45214862781760656</v>
      </c>
    </row>
    <row r="161" spans="1:2" x14ac:dyDescent="0.35">
      <c r="A161">
        <v>1.4800000000000001E-2</v>
      </c>
      <c r="B161">
        <f t="shared" si="5"/>
        <v>0.4484586167444149</v>
      </c>
    </row>
    <row r="162" spans="1:2" x14ac:dyDescent="0.35">
      <c r="A162">
        <v>1.49E-2</v>
      </c>
      <c r="B162">
        <f t="shared" si="5"/>
        <v>0.44481759437626278</v>
      </c>
    </row>
    <row r="163" spans="1:2" x14ac:dyDescent="0.35">
      <c r="A163">
        <v>1.4999999999999999E-2</v>
      </c>
      <c r="B163">
        <f t="shared" si="5"/>
        <v>0.44122459167405759</v>
      </c>
    </row>
    <row r="164" spans="1:2" x14ac:dyDescent="0.35">
      <c r="A164">
        <v>1.5100000000000001E-2</v>
      </c>
      <c r="B164">
        <f t="shared" si="5"/>
        <v>0.43767866498679853</v>
      </c>
    </row>
    <row r="165" spans="1:2" x14ac:dyDescent="0.35">
      <c r="A165">
        <v>1.52E-2</v>
      </c>
      <c r="B165">
        <f t="shared" si="5"/>
        <v>0.43417889522563013</v>
      </c>
    </row>
    <row r="166" spans="1:2" x14ac:dyDescent="0.35">
      <c r="A166">
        <v>1.5299999999999999E-2</v>
      </c>
      <c r="B166">
        <f t="shared" si="5"/>
        <v>0.43072438706992811</v>
      </c>
    </row>
    <row r="167" spans="1:2" x14ac:dyDescent="0.35">
      <c r="A167">
        <v>1.54E-2</v>
      </c>
      <c r="B167">
        <f t="shared" si="5"/>
        <v>0.42731426820397755</v>
      </c>
    </row>
    <row r="168" spans="1:2" x14ac:dyDescent="0.35">
      <c r="A168">
        <v>1.55E-2</v>
      </c>
      <c r="B168">
        <f t="shared" si="5"/>
        <v>0.42394768858288001</v>
      </c>
    </row>
    <row r="169" spans="1:2" x14ac:dyDescent="0.35">
      <c r="A169">
        <v>1.5599999999999999E-2</v>
      </c>
      <c r="B169">
        <f t="shared" si="5"/>
        <v>0.42062381972638696</v>
      </c>
    </row>
    <row r="170" spans="1:2" x14ac:dyDescent="0.35">
      <c r="A170">
        <v>1.5699999999999999E-2</v>
      </c>
      <c r="B170">
        <f t="shared" si="5"/>
        <v>0.41734185403943314</v>
      </c>
    </row>
    <row r="171" spans="1:2" x14ac:dyDescent="0.35">
      <c r="A171">
        <v>1.5800000000000002E-2</v>
      </c>
      <c r="B171">
        <f t="shared" si="5"/>
        <v>0.41410100415819673</v>
      </c>
    </row>
    <row r="172" spans="1:2" x14ac:dyDescent="0.35">
      <c r="A172">
        <v>1.5900000000000001E-2</v>
      </c>
      <c r="B172">
        <f t="shared" si="5"/>
        <v>0.41090050232057496</v>
      </c>
    </row>
    <row r="173" spans="1:2" x14ac:dyDescent="0.35">
      <c r="A173">
        <v>1.6E-2</v>
      </c>
      <c r="B173">
        <f t="shared" si="5"/>
        <v>0.40773959976001872</v>
      </c>
    </row>
    <row r="174" spans="1:2" x14ac:dyDescent="0.35">
      <c r="A174">
        <v>1.61E-2</v>
      </c>
      <c r="B174">
        <f t="shared" si="5"/>
        <v>0.40461756612172106</v>
      </c>
    </row>
    <row r="175" spans="1:2" x14ac:dyDescent="0.35">
      <c r="A175">
        <v>1.6199999999999999E-2</v>
      </c>
      <c r="B175">
        <f t="shared" si="5"/>
        <v>0.40153368890020436</v>
      </c>
    </row>
    <row r="176" spans="1:2" x14ac:dyDescent="0.35">
      <c r="A176">
        <v>1.6299999999999999E-2</v>
      </c>
      <c r="B176">
        <f t="shared" si="5"/>
        <v>0.39848727289739538</v>
      </c>
    </row>
    <row r="177" spans="1:2" x14ac:dyDescent="0.35">
      <c r="A177">
        <v>1.6400000000000001E-2</v>
      </c>
      <c r="B177">
        <f t="shared" si="5"/>
        <v>0.39547763970032446</v>
      </c>
    </row>
    <row r="178" spans="1:2" x14ac:dyDescent="0.35">
      <c r="A178">
        <v>1.6500000000000001E-2</v>
      </c>
      <c r="B178">
        <f t="shared" si="5"/>
        <v>0.39250412717762362</v>
      </c>
    </row>
    <row r="179" spans="1:2" x14ac:dyDescent="0.35">
      <c r="A179">
        <v>1.66E-2</v>
      </c>
      <c r="B179">
        <f t="shared" si="5"/>
        <v>0.38956608899403877</v>
      </c>
    </row>
    <row r="180" spans="1:2" x14ac:dyDescent="0.35">
      <c r="A180">
        <v>1.67E-2</v>
      </c>
      <c r="B180">
        <f t="shared" si="5"/>
        <v>0.38666289414221056</v>
      </c>
    </row>
    <row r="181" spans="1:2" x14ac:dyDescent="0.35">
      <c r="A181">
        <v>1.6799999999999999E-2</v>
      </c>
      <c r="B181">
        <f t="shared" si="5"/>
        <v>0.38379392649100919</v>
      </c>
    </row>
    <row r="182" spans="1:2" x14ac:dyDescent="0.35">
      <c r="A182">
        <v>1.6899999999999998E-2</v>
      </c>
      <c r="B182">
        <f t="shared" si="5"/>
        <v>0.38095858434974528</v>
      </c>
    </row>
    <row r="183" spans="1:2" x14ac:dyDescent="0.35">
      <c r="A183">
        <v>1.7000000000000001E-2</v>
      </c>
      <c r="B183">
        <f t="shared" si="5"/>
        <v>0.37815628004761048</v>
      </c>
    </row>
    <row r="184" spans="1:2" x14ac:dyDescent="0.35">
      <c r="A184">
        <v>1.7100000000000001E-2</v>
      </c>
      <c r="B184">
        <f t="shared" si="5"/>
        <v>0.37538643952772943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Exercise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Curtis</dc:creator>
  <cp:lastModifiedBy>Chad Curtis</cp:lastModifiedBy>
  <dcterms:created xsi:type="dcterms:W3CDTF">2020-01-14T18:44:03Z</dcterms:created>
  <dcterms:modified xsi:type="dcterms:W3CDTF">2020-01-29T22:25:52Z</dcterms:modified>
</cp:coreProperties>
</file>